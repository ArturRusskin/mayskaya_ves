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10.0.17.93\навигатор\Проекты\Майская ВЭС\12. отчеты по ходу работ\Сваи основные\Сайт\"/>
    </mc:Choice>
  </mc:AlternateContent>
  <xr:revisionPtr revIDLastSave="0" documentId="13_ncr:1_{ABD46945-BC27-439B-BC0F-96A9280D4317}" xr6:coauthVersionLast="47" xr6:coauthVersionMax="47" xr10:uidLastSave="{00000000-0000-0000-0000-000000000000}"/>
  <bookViews>
    <workbookView xWindow="8700" yWindow="1560" windowWidth="19380" windowHeight="10545" firstSheet="4" activeTab="6" xr2:uid="{00000000-000D-0000-FFFF-FFFF00000000}"/>
  </bookViews>
  <sheets>
    <sheet name="График поставки" sheetId="2" state="hidden" r:id="rId1"/>
    <sheet name="График поставки версия 2" sheetId="4" state="hidden" r:id="rId2"/>
    <sheet name="ИД Основные сваи" sheetId="27" r:id="rId3"/>
    <sheet name="Геология" sheetId="26" r:id="rId4"/>
    <sheet name="Промежуточный акт (Бегунок)" sheetId="28" r:id="rId5"/>
    <sheet name="1" sheetId="5" r:id="rId6"/>
    <sheet name="2" sheetId="6" r:id="rId7"/>
    <sheet name="3" sheetId="7" r:id="rId8"/>
    <sheet name="4" sheetId="8" r:id="rId9"/>
    <sheet name="5" sheetId="9" r:id="rId10"/>
    <sheet name="6" sheetId="10" r:id="rId11"/>
    <sheet name="7" sheetId="11" r:id="rId12"/>
    <sheet name="8" sheetId="12" r:id="rId13"/>
    <sheet name="9" sheetId="13" r:id="rId14"/>
    <sheet name="10" sheetId="14" r:id="rId15"/>
    <sheet name="11" sheetId="15" r:id="rId16"/>
    <sheet name="12" sheetId="16" r:id="rId17"/>
    <sheet name="13" sheetId="17" r:id="rId18"/>
    <sheet name="14" sheetId="18" r:id="rId19"/>
    <sheet name="15" sheetId="19" r:id="rId20"/>
    <sheet name="16" sheetId="20" r:id="rId21"/>
    <sheet name="17" sheetId="21" r:id="rId22"/>
    <sheet name="18" sheetId="22" r:id="rId23"/>
    <sheet name="19" sheetId="23" r:id="rId24"/>
    <sheet name="20" sheetId="24" r:id="rId25"/>
  </sheets>
  <definedNames>
    <definedName name="_xlnm._FilterDatabase" localSheetId="5" hidden="1">'1'!$A$1:$U$29</definedName>
    <definedName name="_xlnm._FilterDatabase" localSheetId="16" hidden="1">'12'!$A$4:$V$29</definedName>
    <definedName name="_xlnm._FilterDatabase" localSheetId="17" hidden="1">'13'!$A$4:$U$29</definedName>
    <definedName name="_xlnm._FilterDatabase" localSheetId="18" hidden="1">'14'!$A$4:$U$29</definedName>
    <definedName name="_xlnm._FilterDatabase" localSheetId="19" hidden="1">'15'!$A$4:$U$29</definedName>
    <definedName name="_xlnm._FilterDatabase" localSheetId="20" hidden="1">'16'!$A$1:$U$29</definedName>
    <definedName name="_xlnm._FilterDatabase" localSheetId="21" hidden="1">'17'!$A$4:$U$29</definedName>
    <definedName name="_xlnm._FilterDatabase" localSheetId="22" hidden="1">'18'!$A$1:$U$4</definedName>
    <definedName name="_xlnm._FilterDatabase" localSheetId="6" hidden="1">'2'!$A$1:$U$29</definedName>
    <definedName name="_xlnm._FilterDatabase" localSheetId="7" hidden="1">'3'!$C$1:$P$29</definedName>
    <definedName name="_xlnm._FilterDatabase" localSheetId="3" hidden="1">Геология!$A$1:$F$481</definedName>
    <definedName name="_xlnm._FilterDatabase" localSheetId="2" hidden="1">'ИД Основные сваи'!$A$1:$G$481</definedName>
    <definedName name="_xlnm._FilterDatabase" localSheetId="4" hidden="1">'Промежуточный акт (Бегунок)'!$A$1:$E$481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7" l="1"/>
  <c r="R28" i="7"/>
  <c r="Q28" i="7"/>
  <c r="P28" i="7"/>
  <c r="N28" i="7"/>
  <c r="O28" i="7" s="1"/>
  <c r="R27" i="7"/>
  <c r="Q27" i="7"/>
  <c r="P27" i="7"/>
  <c r="N27" i="7"/>
  <c r="O27" i="7" s="1"/>
  <c r="R26" i="7"/>
  <c r="Q26" i="7"/>
  <c r="P26" i="7"/>
  <c r="O26" i="7"/>
  <c r="N26" i="7"/>
  <c r="R25" i="7"/>
  <c r="Q25" i="7"/>
  <c r="P25" i="7"/>
  <c r="N25" i="7"/>
  <c r="O25" i="7" s="1"/>
  <c r="R24" i="7"/>
  <c r="Q24" i="7"/>
  <c r="P24" i="7"/>
  <c r="N24" i="7"/>
  <c r="O24" i="7" s="1"/>
  <c r="R23" i="7"/>
  <c r="Q23" i="7"/>
  <c r="P23" i="7"/>
  <c r="N23" i="7"/>
  <c r="O23" i="7" s="1"/>
  <c r="R22" i="7"/>
  <c r="Q22" i="7"/>
  <c r="P22" i="7"/>
  <c r="N22" i="7"/>
  <c r="O22" i="7" s="1"/>
  <c r="R21" i="7"/>
  <c r="Q21" i="7"/>
  <c r="P21" i="7"/>
  <c r="N21" i="7"/>
  <c r="O21" i="7" s="1"/>
  <c r="R20" i="7"/>
  <c r="Q20" i="7"/>
  <c r="P20" i="7"/>
  <c r="N20" i="7"/>
  <c r="O20" i="7" s="1"/>
  <c r="R19" i="7"/>
  <c r="Q19" i="7"/>
  <c r="P19" i="7"/>
  <c r="O19" i="7"/>
  <c r="N19" i="7"/>
  <c r="R18" i="7"/>
  <c r="Q18" i="7"/>
  <c r="P18" i="7"/>
  <c r="N18" i="7"/>
  <c r="O18" i="7" s="1"/>
  <c r="R17" i="7"/>
  <c r="Q17" i="7"/>
  <c r="P17" i="7"/>
  <c r="N17" i="7"/>
  <c r="O17" i="7" s="1"/>
  <c r="R16" i="7"/>
  <c r="Q16" i="7"/>
  <c r="P16" i="7"/>
  <c r="N16" i="7"/>
  <c r="O16" i="7" s="1"/>
  <c r="R15" i="7"/>
  <c r="Q15" i="7"/>
  <c r="P15" i="7"/>
  <c r="N15" i="7"/>
  <c r="O15" i="7" s="1"/>
  <c r="R14" i="7"/>
  <c r="Q14" i="7"/>
  <c r="P14" i="7"/>
  <c r="O14" i="7"/>
  <c r="N14" i="7"/>
  <c r="R13" i="7"/>
  <c r="Q13" i="7"/>
  <c r="P13" i="7"/>
  <c r="N13" i="7"/>
  <c r="O13" i="7" s="1"/>
  <c r="R12" i="7"/>
  <c r="Q12" i="7"/>
  <c r="P12" i="7"/>
  <c r="O12" i="7"/>
  <c r="N12" i="7"/>
  <c r="R11" i="7"/>
  <c r="Q11" i="7"/>
  <c r="P11" i="7"/>
  <c r="N11" i="7"/>
  <c r="O11" i="7" s="1"/>
  <c r="R10" i="7"/>
  <c r="Q10" i="7"/>
  <c r="P10" i="7"/>
  <c r="N10" i="7"/>
  <c r="O10" i="7" s="1"/>
  <c r="R9" i="7"/>
  <c r="Q9" i="7"/>
  <c r="P9" i="7"/>
  <c r="N9" i="7"/>
  <c r="O9" i="7" s="1"/>
  <c r="R8" i="7"/>
  <c r="Q8" i="7"/>
  <c r="P8" i="7"/>
  <c r="N8" i="7"/>
  <c r="O8" i="7" s="1"/>
  <c r="R7" i="7"/>
  <c r="Q7" i="7"/>
  <c r="P7" i="7"/>
  <c r="O7" i="7"/>
  <c r="N7" i="7"/>
  <c r="R6" i="7"/>
  <c r="Q6" i="7"/>
  <c r="P6" i="7"/>
  <c r="N6" i="7"/>
  <c r="O6" i="7" s="1"/>
  <c r="R5" i="7"/>
  <c r="Q5" i="7"/>
  <c r="P5" i="7"/>
  <c r="N5" i="7"/>
  <c r="O5" i="7" s="1"/>
  <c r="M11" i="18" l="1"/>
  <c r="M17" i="21"/>
  <c r="M25" i="16" l="1"/>
  <c r="D481" i="28" l="1"/>
  <c r="D480" i="28"/>
  <c r="D479" i="28"/>
  <c r="D478" i="28"/>
  <c r="D477" i="28"/>
  <c r="D476" i="28"/>
  <c r="D475" i="28"/>
  <c r="D474" i="28"/>
  <c r="D473" i="28"/>
  <c r="D472" i="28"/>
  <c r="D471" i="28"/>
  <c r="D470" i="28"/>
  <c r="D469" i="28"/>
  <c r="D468" i="28"/>
  <c r="D467" i="28"/>
  <c r="D466" i="28"/>
  <c r="D465" i="28"/>
  <c r="D464" i="28"/>
  <c r="D463" i="28"/>
  <c r="D462" i="28"/>
  <c r="D461" i="28"/>
  <c r="D460" i="28"/>
  <c r="D459" i="28"/>
  <c r="D458" i="28"/>
  <c r="D457" i="28"/>
  <c r="D456" i="28"/>
  <c r="D455" i="28"/>
  <c r="D454" i="28"/>
  <c r="D453" i="28"/>
  <c r="D452" i="28"/>
  <c r="D451" i="28"/>
  <c r="D450" i="28"/>
  <c r="D449" i="28"/>
  <c r="D448" i="28"/>
  <c r="D447" i="28"/>
  <c r="D446" i="28"/>
  <c r="D445" i="28"/>
  <c r="D444" i="28"/>
  <c r="D443" i="28"/>
  <c r="D442" i="28"/>
  <c r="D441" i="28"/>
  <c r="D440" i="28"/>
  <c r="D439" i="28"/>
  <c r="D438" i="28"/>
  <c r="D437" i="28"/>
  <c r="D436" i="28"/>
  <c r="D435" i="28"/>
  <c r="D434" i="28"/>
  <c r="D433" i="28"/>
  <c r="D432" i="28"/>
  <c r="D431" i="28"/>
  <c r="D430" i="28"/>
  <c r="D429" i="28"/>
  <c r="D428" i="28"/>
  <c r="D427" i="28"/>
  <c r="D426" i="28"/>
  <c r="D425" i="28"/>
  <c r="D424" i="28"/>
  <c r="D423" i="28"/>
  <c r="D422" i="28"/>
  <c r="D421" i="28"/>
  <c r="D420" i="28"/>
  <c r="D419" i="28"/>
  <c r="D418" i="28"/>
  <c r="D417" i="28"/>
  <c r="D416" i="28"/>
  <c r="D415" i="28"/>
  <c r="D414" i="28"/>
  <c r="D413" i="28"/>
  <c r="D412" i="28"/>
  <c r="D411" i="28"/>
  <c r="D410" i="28"/>
  <c r="D409" i="28"/>
  <c r="D408" i="28"/>
  <c r="D407" i="28"/>
  <c r="D406" i="28"/>
  <c r="D405" i="28"/>
  <c r="D404" i="28"/>
  <c r="D403" i="28"/>
  <c r="D402" i="28"/>
  <c r="D401" i="28"/>
  <c r="D400" i="28"/>
  <c r="D399" i="28"/>
  <c r="D398" i="28"/>
  <c r="D397" i="28"/>
  <c r="D396" i="28"/>
  <c r="D395" i="28"/>
  <c r="D394" i="28"/>
  <c r="D393" i="28"/>
  <c r="D392" i="28"/>
  <c r="D391" i="28"/>
  <c r="D390" i="28"/>
  <c r="D389" i="28"/>
  <c r="D388" i="28"/>
  <c r="D387" i="28"/>
  <c r="D386" i="28"/>
  <c r="D385" i="28"/>
  <c r="D384" i="28"/>
  <c r="D383" i="28"/>
  <c r="D382" i="28"/>
  <c r="D381" i="28"/>
  <c r="D380" i="28"/>
  <c r="D379" i="28"/>
  <c r="D378" i="28"/>
  <c r="D377" i="28"/>
  <c r="D376" i="28"/>
  <c r="D375" i="28"/>
  <c r="D374" i="28"/>
  <c r="D373" i="28"/>
  <c r="D372" i="28"/>
  <c r="D371" i="28"/>
  <c r="D370" i="28"/>
  <c r="D369" i="28"/>
  <c r="D368" i="28"/>
  <c r="D367" i="28"/>
  <c r="D366" i="28"/>
  <c r="D365" i="28"/>
  <c r="D364" i="28"/>
  <c r="D363" i="28"/>
  <c r="D362" i="28"/>
  <c r="D361" i="28"/>
  <c r="D360" i="28"/>
  <c r="D359" i="28"/>
  <c r="D358" i="28"/>
  <c r="D357" i="28"/>
  <c r="D356" i="28"/>
  <c r="D355" i="28"/>
  <c r="D354" i="28"/>
  <c r="D353" i="28"/>
  <c r="D352" i="28"/>
  <c r="D351" i="28"/>
  <c r="D350" i="28"/>
  <c r="D349" i="28"/>
  <c r="D348" i="28"/>
  <c r="D347" i="28"/>
  <c r="D346" i="28"/>
  <c r="D345" i="28"/>
  <c r="D344" i="28"/>
  <c r="D343" i="28"/>
  <c r="D342" i="28"/>
  <c r="D341" i="28"/>
  <c r="D340" i="28"/>
  <c r="D339" i="28"/>
  <c r="D338" i="28"/>
  <c r="D337" i="28"/>
  <c r="D336" i="28"/>
  <c r="D335" i="28"/>
  <c r="D334" i="28"/>
  <c r="D333" i="28"/>
  <c r="D332" i="28"/>
  <c r="D331" i="28"/>
  <c r="D330" i="28"/>
  <c r="D329" i="28"/>
  <c r="D328" i="28"/>
  <c r="D327" i="28"/>
  <c r="D326" i="28"/>
  <c r="D325" i="28"/>
  <c r="D324" i="28"/>
  <c r="D323" i="28"/>
  <c r="D322" i="28"/>
  <c r="D321" i="28"/>
  <c r="D320" i="28"/>
  <c r="D319" i="28"/>
  <c r="D318" i="28"/>
  <c r="D317" i="28"/>
  <c r="D316" i="28"/>
  <c r="D315" i="28"/>
  <c r="D314" i="28"/>
  <c r="D313" i="28"/>
  <c r="D312" i="28"/>
  <c r="D311" i="28"/>
  <c r="D310" i="28"/>
  <c r="D309" i="28"/>
  <c r="D308" i="28"/>
  <c r="D307" i="28"/>
  <c r="D306" i="28"/>
  <c r="D305" i="28"/>
  <c r="D304" i="28"/>
  <c r="D303" i="28"/>
  <c r="D302" i="28"/>
  <c r="D301" i="28"/>
  <c r="D300" i="28"/>
  <c r="D299" i="28"/>
  <c r="D298" i="28"/>
  <c r="D297" i="28"/>
  <c r="D296" i="28"/>
  <c r="D295" i="28"/>
  <c r="D294" i="28"/>
  <c r="D293" i="28"/>
  <c r="D292" i="28"/>
  <c r="D291" i="28"/>
  <c r="D290" i="28"/>
  <c r="D289" i="28"/>
  <c r="D288" i="28"/>
  <c r="D287" i="28"/>
  <c r="D286" i="28"/>
  <c r="D285" i="28"/>
  <c r="D284" i="28"/>
  <c r="D283" i="28"/>
  <c r="D282" i="28"/>
  <c r="D281" i="28"/>
  <c r="D280" i="28"/>
  <c r="D279" i="28"/>
  <c r="D278" i="28"/>
  <c r="D277" i="28"/>
  <c r="D276" i="28"/>
  <c r="D275" i="28"/>
  <c r="D274" i="28"/>
  <c r="D273" i="28"/>
  <c r="D272" i="28"/>
  <c r="D271" i="28"/>
  <c r="D270" i="28"/>
  <c r="D269" i="28"/>
  <c r="D268" i="28"/>
  <c r="D267" i="28"/>
  <c r="D266" i="28"/>
  <c r="D265" i="28"/>
  <c r="D264" i="28"/>
  <c r="D263" i="28"/>
  <c r="D262" i="28"/>
  <c r="D261" i="28"/>
  <c r="D260" i="28"/>
  <c r="D259" i="28"/>
  <c r="D258" i="28"/>
  <c r="D257" i="28"/>
  <c r="D256" i="28"/>
  <c r="D255" i="28"/>
  <c r="D254" i="28"/>
  <c r="D253" i="28"/>
  <c r="D252" i="28"/>
  <c r="D251" i="28"/>
  <c r="D250" i="28"/>
  <c r="D249" i="28"/>
  <c r="D248" i="28"/>
  <c r="D247" i="28"/>
  <c r="D246" i="28"/>
  <c r="D245" i="28"/>
  <c r="D244" i="28"/>
  <c r="D243" i="28"/>
  <c r="D242" i="28"/>
  <c r="D241" i="28"/>
  <c r="D240" i="28"/>
  <c r="D239" i="28"/>
  <c r="D238" i="28"/>
  <c r="D237" i="28"/>
  <c r="D236" i="28"/>
  <c r="D235" i="28"/>
  <c r="D234" i="28"/>
  <c r="D233" i="28"/>
  <c r="D232" i="28"/>
  <c r="D231" i="28"/>
  <c r="D230" i="28"/>
  <c r="D229" i="28"/>
  <c r="D228" i="28"/>
  <c r="D227" i="28"/>
  <c r="D226" i="28"/>
  <c r="D225" i="28"/>
  <c r="D224" i="28"/>
  <c r="D223" i="28"/>
  <c r="D222" i="28"/>
  <c r="D221" i="28"/>
  <c r="D220" i="28"/>
  <c r="D219" i="28"/>
  <c r="D218" i="28"/>
  <c r="D217" i="28"/>
  <c r="D216" i="28"/>
  <c r="D215" i="28"/>
  <c r="D214" i="28"/>
  <c r="D213" i="28"/>
  <c r="D212" i="28"/>
  <c r="D211" i="28"/>
  <c r="D210" i="28"/>
  <c r="D209" i="28"/>
  <c r="D208" i="28"/>
  <c r="D207" i="28"/>
  <c r="D206" i="28"/>
  <c r="D205" i="28"/>
  <c r="D204" i="28"/>
  <c r="D203" i="28"/>
  <c r="D202" i="28"/>
  <c r="D201" i="28"/>
  <c r="D200" i="28"/>
  <c r="D199" i="28"/>
  <c r="D198" i="28"/>
  <c r="D197" i="28"/>
  <c r="D196" i="28"/>
  <c r="D195" i="28"/>
  <c r="D194" i="28"/>
  <c r="D193" i="28"/>
  <c r="D192" i="28"/>
  <c r="D191" i="28"/>
  <c r="D190" i="28"/>
  <c r="D189" i="28"/>
  <c r="D188" i="28"/>
  <c r="D187" i="28"/>
  <c r="D186" i="28"/>
  <c r="D185" i="28"/>
  <c r="D184" i="28"/>
  <c r="D183" i="28"/>
  <c r="D182" i="28"/>
  <c r="D181" i="28"/>
  <c r="D180" i="28"/>
  <c r="D179" i="28"/>
  <c r="D178" i="28"/>
  <c r="D177" i="28"/>
  <c r="D176" i="28"/>
  <c r="D175" i="28"/>
  <c r="D174" i="28"/>
  <c r="D173" i="28"/>
  <c r="D172" i="28"/>
  <c r="D171" i="28"/>
  <c r="D170" i="28"/>
  <c r="D169" i="28"/>
  <c r="D168" i="28"/>
  <c r="D167" i="28"/>
  <c r="D166" i="28"/>
  <c r="D165" i="28"/>
  <c r="D164" i="28"/>
  <c r="D163" i="28"/>
  <c r="D162" i="28"/>
  <c r="D161" i="28"/>
  <c r="D160" i="28"/>
  <c r="D159" i="28"/>
  <c r="D158" i="28"/>
  <c r="D157" i="28"/>
  <c r="D156" i="28"/>
  <c r="D155" i="28"/>
  <c r="D154" i="28"/>
  <c r="D153" i="28"/>
  <c r="D152" i="28"/>
  <c r="D151" i="28"/>
  <c r="D150" i="28"/>
  <c r="D149" i="28"/>
  <c r="D148" i="28"/>
  <c r="D147" i="28"/>
  <c r="D146" i="28"/>
  <c r="D145" i="28"/>
  <c r="D144" i="28"/>
  <c r="D143" i="28"/>
  <c r="D142" i="28"/>
  <c r="D141" i="28"/>
  <c r="D140" i="28"/>
  <c r="D139" i="28"/>
  <c r="D138" i="28"/>
  <c r="D137" i="28"/>
  <c r="D136" i="28"/>
  <c r="D135" i="28"/>
  <c r="D134" i="28"/>
  <c r="D133" i="28"/>
  <c r="D132" i="28"/>
  <c r="D131" i="28"/>
  <c r="D130" i="28"/>
  <c r="D129" i="28"/>
  <c r="D128" i="28"/>
  <c r="D127" i="28"/>
  <c r="D126" i="28"/>
  <c r="D125" i="28"/>
  <c r="D124" i="28"/>
  <c r="D123" i="28"/>
  <c r="D122" i="28"/>
  <c r="D121" i="28"/>
  <c r="D120" i="28"/>
  <c r="D119" i="28"/>
  <c r="D118" i="28"/>
  <c r="D117" i="28"/>
  <c r="D116" i="28"/>
  <c r="D115" i="28"/>
  <c r="D114" i="28"/>
  <c r="D113" i="28"/>
  <c r="D112" i="28"/>
  <c r="D111" i="28"/>
  <c r="D110" i="28"/>
  <c r="D109" i="28"/>
  <c r="D108" i="28"/>
  <c r="D107" i="28"/>
  <c r="D106" i="28"/>
  <c r="D105" i="28"/>
  <c r="D104" i="28"/>
  <c r="D103" i="28"/>
  <c r="D102" i="28"/>
  <c r="D101" i="28"/>
  <c r="D100" i="28"/>
  <c r="D99" i="28"/>
  <c r="D98" i="28"/>
  <c r="D97" i="28"/>
  <c r="D96" i="28"/>
  <c r="D95" i="28"/>
  <c r="D94" i="28"/>
  <c r="D93" i="28"/>
  <c r="D92" i="28"/>
  <c r="D91" i="28"/>
  <c r="D90" i="28"/>
  <c r="D89" i="28"/>
  <c r="D88" i="28"/>
  <c r="D87" i="28"/>
  <c r="D86" i="28"/>
  <c r="D85" i="28"/>
  <c r="D84" i="28"/>
  <c r="D83" i="28"/>
  <c r="D82" i="28"/>
  <c r="D81" i="28"/>
  <c r="D80" i="28"/>
  <c r="D79" i="28"/>
  <c r="D78" i="28"/>
  <c r="D77" i="28"/>
  <c r="D76" i="28"/>
  <c r="D75" i="28"/>
  <c r="D74" i="28"/>
  <c r="D73" i="28"/>
  <c r="D72" i="28"/>
  <c r="D71" i="28"/>
  <c r="D70" i="28"/>
  <c r="D69" i="28"/>
  <c r="D68" i="28"/>
  <c r="D67" i="28"/>
  <c r="D66" i="28"/>
  <c r="D65" i="28"/>
  <c r="D64" i="28"/>
  <c r="D63" i="28"/>
  <c r="D62" i="28"/>
  <c r="D61" i="28"/>
  <c r="D60" i="28"/>
  <c r="D59" i="28"/>
  <c r="D58" i="28"/>
  <c r="D57" i="28"/>
  <c r="D56" i="28"/>
  <c r="D55" i="28"/>
  <c r="D54" i="28"/>
  <c r="D53" i="28"/>
  <c r="D52" i="28"/>
  <c r="D51" i="28"/>
  <c r="D50" i="28"/>
  <c r="D49" i="28"/>
  <c r="D48" i="28"/>
  <c r="D47" i="28"/>
  <c r="D46" i="28"/>
  <c r="D45" i="28"/>
  <c r="D44" i="28"/>
  <c r="D43" i="28"/>
  <c r="D42" i="28"/>
  <c r="D41" i="28"/>
  <c r="D40" i="28"/>
  <c r="D39" i="28"/>
  <c r="D38" i="28"/>
  <c r="D37" i="28"/>
  <c r="D36" i="28"/>
  <c r="D35" i="28"/>
  <c r="D34" i="28"/>
  <c r="D33" i="28"/>
  <c r="D32" i="28"/>
  <c r="D31" i="28"/>
  <c r="D30" i="28"/>
  <c r="D29" i="28"/>
  <c r="D28" i="28"/>
  <c r="D27" i="28"/>
  <c r="D26" i="28"/>
  <c r="D25" i="28"/>
  <c r="D24" i="28"/>
  <c r="D23" i="28"/>
  <c r="D22" i="28"/>
  <c r="D21" i="28"/>
  <c r="D20" i="28"/>
  <c r="D19" i="28"/>
  <c r="D18" i="28"/>
  <c r="D17" i="28"/>
  <c r="D16" i="28"/>
  <c r="D15" i="28"/>
  <c r="D14" i="28"/>
  <c r="D13" i="28"/>
  <c r="D12" i="28"/>
  <c r="D11" i="28"/>
  <c r="D10" i="28"/>
  <c r="D9" i="28"/>
  <c r="D8" i="28"/>
  <c r="D7" i="28"/>
  <c r="D6" i="28"/>
  <c r="D5" i="28"/>
  <c r="D4" i="28"/>
  <c r="D3" i="28"/>
  <c r="D2" i="28"/>
  <c r="G481" i="27" l="1"/>
  <c r="G480" i="27"/>
  <c r="G479" i="27"/>
  <c r="G478" i="27"/>
  <c r="G477" i="27"/>
  <c r="G476" i="27"/>
  <c r="G475" i="27"/>
  <c r="G474" i="27"/>
  <c r="G473" i="27"/>
  <c r="G472" i="27"/>
  <c r="G471" i="27"/>
  <c r="G470" i="27"/>
  <c r="G469" i="27"/>
  <c r="G468" i="27"/>
  <c r="G467" i="27"/>
  <c r="G466" i="27"/>
  <c r="G465" i="27"/>
  <c r="G464" i="27"/>
  <c r="G463" i="27"/>
  <c r="G462" i="27"/>
  <c r="G461" i="27"/>
  <c r="G460" i="27"/>
  <c r="G459" i="27"/>
  <c r="G458" i="27"/>
  <c r="G457" i="27"/>
  <c r="G456" i="27"/>
  <c r="G455" i="27"/>
  <c r="G454" i="27"/>
  <c r="G453" i="27"/>
  <c r="G452" i="27"/>
  <c r="G451" i="27"/>
  <c r="G450" i="27"/>
  <c r="G449" i="27"/>
  <c r="G448" i="27"/>
  <c r="G447" i="27"/>
  <c r="G446" i="27"/>
  <c r="G445" i="27"/>
  <c r="G444" i="27"/>
  <c r="G443" i="27"/>
  <c r="G442" i="27"/>
  <c r="G441" i="27"/>
  <c r="G440" i="27"/>
  <c r="G439" i="27"/>
  <c r="G438" i="27"/>
  <c r="G437" i="27"/>
  <c r="G436" i="27"/>
  <c r="G435" i="27"/>
  <c r="G434" i="27"/>
  <c r="G427" i="27"/>
  <c r="G426" i="27"/>
  <c r="G421" i="27"/>
  <c r="G413" i="27"/>
  <c r="G391" i="27"/>
  <c r="G390" i="27"/>
  <c r="G355" i="27"/>
  <c r="G351" i="27"/>
  <c r="G339" i="27"/>
  <c r="G337" i="27"/>
  <c r="G264" i="27"/>
  <c r="G262" i="27"/>
  <c r="G259" i="27"/>
  <c r="G258" i="27"/>
  <c r="G255" i="27"/>
  <c r="G251" i="27"/>
  <c r="G249" i="27"/>
  <c r="G247" i="27"/>
  <c r="G242" i="27"/>
  <c r="G241" i="27"/>
  <c r="G215" i="27"/>
  <c r="G214" i="27"/>
  <c r="G208" i="27"/>
  <c r="G207" i="27"/>
  <c r="G206" i="27"/>
  <c r="G204" i="27"/>
  <c r="G203" i="27"/>
  <c r="G199" i="27"/>
  <c r="G193" i="27"/>
  <c r="G191" i="27"/>
  <c r="G190" i="27"/>
  <c r="G189" i="27"/>
  <c r="G188" i="27"/>
  <c r="G187" i="27"/>
  <c r="G186" i="27"/>
  <c r="G185" i="27"/>
  <c r="G183" i="27"/>
  <c r="G181" i="27"/>
  <c r="G179" i="27"/>
  <c r="G178" i="27"/>
  <c r="G177" i="27"/>
  <c r="G176" i="27"/>
  <c r="G175" i="27"/>
  <c r="G174" i="27"/>
  <c r="G173" i="27"/>
  <c r="G172" i="27"/>
  <c r="G170" i="27"/>
  <c r="G169" i="27"/>
  <c r="G167" i="27"/>
  <c r="G159" i="27"/>
  <c r="G157" i="27"/>
  <c r="G156" i="27"/>
  <c r="G153" i="27"/>
  <c r="G152" i="27"/>
  <c r="G151" i="27"/>
  <c r="G147" i="27"/>
  <c r="G145" i="27"/>
  <c r="G144" i="27"/>
  <c r="G143" i="27"/>
  <c r="G142" i="27"/>
  <c r="G141" i="27"/>
  <c r="G140" i="27"/>
  <c r="G139" i="27"/>
  <c r="G138" i="27"/>
  <c r="G137" i="27"/>
  <c r="G136" i="27"/>
  <c r="G135" i="27"/>
  <c r="G134" i="27"/>
  <c r="G133" i="27"/>
  <c r="G132" i="27"/>
  <c r="G131" i="27"/>
  <c r="G130" i="27"/>
  <c r="G129" i="27"/>
  <c r="G128" i="27"/>
  <c r="G127" i="27"/>
  <c r="G126" i="27"/>
  <c r="G125" i="27"/>
  <c r="G124" i="27"/>
  <c r="G123" i="27"/>
  <c r="G122" i="27"/>
  <c r="G121" i="27"/>
  <c r="G120" i="27"/>
  <c r="G119" i="27"/>
  <c r="G118" i="27"/>
  <c r="G117" i="27"/>
  <c r="G116" i="27"/>
  <c r="G115" i="27"/>
  <c r="G114" i="27"/>
  <c r="G113" i="27"/>
  <c r="G112" i="27"/>
  <c r="G111" i="27"/>
  <c r="G110" i="27"/>
  <c r="G109" i="27"/>
  <c r="G108" i="27"/>
  <c r="G107" i="27"/>
  <c r="G106" i="27"/>
  <c r="G105" i="27"/>
  <c r="G104" i="27"/>
  <c r="G103" i="27"/>
  <c r="G102" i="27"/>
  <c r="G101" i="27"/>
  <c r="G100" i="27"/>
  <c r="G99" i="27"/>
  <c r="G98" i="27"/>
  <c r="G97" i="27"/>
  <c r="G96" i="27"/>
  <c r="G95" i="27"/>
  <c r="G94" i="27"/>
  <c r="G93" i="27"/>
  <c r="G92" i="27"/>
  <c r="G91" i="27"/>
  <c r="G90" i="27"/>
  <c r="G89" i="27"/>
  <c r="G88" i="27"/>
  <c r="G87" i="27"/>
  <c r="G86" i="27"/>
  <c r="G85" i="27"/>
  <c r="G84" i="27"/>
  <c r="G83" i="27"/>
  <c r="G82" i="27"/>
  <c r="G81" i="27"/>
  <c r="G80" i="27"/>
  <c r="G79" i="27"/>
  <c r="G78" i="27"/>
  <c r="G77" i="27"/>
  <c r="G76" i="27"/>
  <c r="G75" i="27"/>
  <c r="G74" i="27"/>
  <c r="G28" i="27"/>
  <c r="G26" i="27"/>
  <c r="G25" i="27"/>
  <c r="D2" i="27"/>
  <c r="G2" i="27" s="1"/>
  <c r="D3" i="27"/>
  <c r="G3" i="27" s="1"/>
  <c r="D4" i="27"/>
  <c r="G4" i="27" s="1"/>
  <c r="D481" i="27"/>
  <c r="D480" i="27"/>
  <c r="D479" i="27"/>
  <c r="D478" i="27"/>
  <c r="D477" i="27"/>
  <c r="D476" i="27"/>
  <c r="D475" i="27"/>
  <c r="D474" i="27"/>
  <c r="D473" i="27"/>
  <c r="D472" i="27"/>
  <c r="D471" i="27"/>
  <c r="D470" i="27"/>
  <c r="D469" i="27"/>
  <c r="D468" i="27"/>
  <c r="D467" i="27"/>
  <c r="D466" i="27"/>
  <c r="D465" i="27"/>
  <c r="D464" i="27"/>
  <c r="D463" i="27"/>
  <c r="D462" i="27"/>
  <c r="D461" i="27"/>
  <c r="D460" i="27"/>
  <c r="D459" i="27"/>
  <c r="D458" i="27"/>
  <c r="D457" i="27"/>
  <c r="D456" i="27"/>
  <c r="D455" i="27"/>
  <c r="D454" i="27"/>
  <c r="D453" i="27"/>
  <c r="D452" i="27"/>
  <c r="D451" i="27"/>
  <c r="D450" i="27"/>
  <c r="D449" i="27"/>
  <c r="D448" i="27"/>
  <c r="D447" i="27"/>
  <c r="D446" i="27"/>
  <c r="D445" i="27"/>
  <c r="D444" i="27"/>
  <c r="D443" i="27"/>
  <c r="D442" i="27"/>
  <c r="D441" i="27"/>
  <c r="D440" i="27"/>
  <c r="D439" i="27"/>
  <c r="D438" i="27"/>
  <c r="D437" i="27"/>
  <c r="D436" i="27"/>
  <c r="D435" i="27"/>
  <c r="D434" i="27"/>
  <c r="D433" i="27"/>
  <c r="G433" i="27" s="1"/>
  <c r="D432" i="27"/>
  <c r="G432" i="27" s="1"/>
  <c r="D431" i="27"/>
  <c r="G431" i="27" s="1"/>
  <c r="D430" i="27"/>
  <c r="G430" i="27" s="1"/>
  <c r="D429" i="27"/>
  <c r="G429" i="27" s="1"/>
  <c r="D428" i="27"/>
  <c r="G428" i="27" s="1"/>
  <c r="D427" i="27"/>
  <c r="D426" i="27"/>
  <c r="D425" i="27"/>
  <c r="G425" i="27" s="1"/>
  <c r="D424" i="27"/>
  <c r="G424" i="27" s="1"/>
  <c r="D423" i="27"/>
  <c r="G423" i="27" s="1"/>
  <c r="D422" i="27"/>
  <c r="G422" i="27" s="1"/>
  <c r="D421" i="27"/>
  <c r="D420" i="27"/>
  <c r="G420" i="27" s="1"/>
  <c r="D419" i="27"/>
  <c r="G419" i="27" s="1"/>
  <c r="D418" i="27"/>
  <c r="G418" i="27" s="1"/>
  <c r="D417" i="27"/>
  <c r="G417" i="27" s="1"/>
  <c r="D416" i="27"/>
  <c r="G416" i="27" s="1"/>
  <c r="D415" i="27"/>
  <c r="G415" i="27" s="1"/>
  <c r="D414" i="27"/>
  <c r="G414" i="27" s="1"/>
  <c r="D413" i="27"/>
  <c r="D412" i="27"/>
  <c r="G412" i="27" s="1"/>
  <c r="D411" i="27"/>
  <c r="G411" i="27" s="1"/>
  <c r="D410" i="27"/>
  <c r="G410" i="27" s="1"/>
  <c r="D409" i="27"/>
  <c r="G409" i="27" s="1"/>
  <c r="D408" i="27"/>
  <c r="G408" i="27" s="1"/>
  <c r="D407" i="27"/>
  <c r="G407" i="27" s="1"/>
  <c r="D406" i="27"/>
  <c r="G406" i="27" s="1"/>
  <c r="D405" i="27"/>
  <c r="G405" i="27" s="1"/>
  <c r="D404" i="27"/>
  <c r="G404" i="27" s="1"/>
  <c r="D403" i="27"/>
  <c r="G403" i="27" s="1"/>
  <c r="D402" i="27"/>
  <c r="G402" i="27" s="1"/>
  <c r="D401" i="27"/>
  <c r="G401" i="27" s="1"/>
  <c r="D400" i="27"/>
  <c r="G400" i="27" s="1"/>
  <c r="D399" i="27"/>
  <c r="G399" i="27" s="1"/>
  <c r="D398" i="27"/>
  <c r="G398" i="27" s="1"/>
  <c r="D397" i="27"/>
  <c r="G397" i="27" s="1"/>
  <c r="D396" i="27"/>
  <c r="G396" i="27" s="1"/>
  <c r="D395" i="27"/>
  <c r="G395" i="27" s="1"/>
  <c r="D394" i="27"/>
  <c r="G394" i="27" s="1"/>
  <c r="D393" i="27"/>
  <c r="G393" i="27" s="1"/>
  <c r="D392" i="27"/>
  <c r="G392" i="27" s="1"/>
  <c r="D391" i="27"/>
  <c r="D390" i="27"/>
  <c r="D389" i="27"/>
  <c r="G389" i="27" s="1"/>
  <c r="D388" i="27"/>
  <c r="G388" i="27" s="1"/>
  <c r="D387" i="27"/>
  <c r="G387" i="27" s="1"/>
  <c r="D386" i="27"/>
  <c r="G386" i="27" s="1"/>
  <c r="D385" i="27"/>
  <c r="G385" i="27" s="1"/>
  <c r="D384" i="27"/>
  <c r="G384" i="27" s="1"/>
  <c r="D383" i="27"/>
  <c r="G383" i="27" s="1"/>
  <c r="D382" i="27"/>
  <c r="G382" i="27" s="1"/>
  <c r="D381" i="27"/>
  <c r="G381" i="27" s="1"/>
  <c r="D380" i="27"/>
  <c r="G380" i="27" s="1"/>
  <c r="D379" i="27"/>
  <c r="G379" i="27" s="1"/>
  <c r="D378" i="27"/>
  <c r="G378" i="27" s="1"/>
  <c r="D377" i="27"/>
  <c r="G377" i="27" s="1"/>
  <c r="D376" i="27"/>
  <c r="G376" i="27" s="1"/>
  <c r="D375" i="27"/>
  <c r="G375" i="27" s="1"/>
  <c r="D374" i="27"/>
  <c r="G374" i="27" s="1"/>
  <c r="D373" i="27"/>
  <c r="G373" i="27" s="1"/>
  <c r="D372" i="27"/>
  <c r="G372" i="27" s="1"/>
  <c r="D371" i="27"/>
  <c r="G371" i="27" s="1"/>
  <c r="D370" i="27"/>
  <c r="G370" i="27" s="1"/>
  <c r="D369" i="27"/>
  <c r="G369" i="27" s="1"/>
  <c r="D368" i="27"/>
  <c r="G368" i="27" s="1"/>
  <c r="D367" i="27"/>
  <c r="G367" i="27" s="1"/>
  <c r="D366" i="27"/>
  <c r="G366" i="27" s="1"/>
  <c r="D365" i="27"/>
  <c r="G365" i="27" s="1"/>
  <c r="D364" i="27"/>
  <c r="G364" i="27" s="1"/>
  <c r="D363" i="27"/>
  <c r="G363" i="27" s="1"/>
  <c r="D362" i="27"/>
  <c r="G362" i="27" s="1"/>
  <c r="D361" i="27"/>
  <c r="G361" i="27" s="1"/>
  <c r="D360" i="27"/>
  <c r="G360" i="27" s="1"/>
  <c r="D359" i="27"/>
  <c r="G359" i="27" s="1"/>
  <c r="D358" i="27"/>
  <c r="G358" i="27" s="1"/>
  <c r="D357" i="27"/>
  <c r="G357" i="27" s="1"/>
  <c r="D356" i="27"/>
  <c r="G356" i="27" s="1"/>
  <c r="D355" i="27"/>
  <c r="D354" i="27"/>
  <c r="G354" i="27" s="1"/>
  <c r="D353" i="27"/>
  <c r="G353" i="27" s="1"/>
  <c r="D352" i="27"/>
  <c r="G352" i="27" s="1"/>
  <c r="D351" i="27"/>
  <c r="D350" i="27"/>
  <c r="G350" i="27" s="1"/>
  <c r="D349" i="27"/>
  <c r="G349" i="27" s="1"/>
  <c r="D348" i="27"/>
  <c r="G348" i="27" s="1"/>
  <c r="D347" i="27"/>
  <c r="G347" i="27" s="1"/>
  <c r="D346" i="27"/>
  <c r="G346" i="27" s="1"/>
  <c r="D345" i="27"/>
  <c r="G345" i="27" s="1"/>
  <c r="D344" i="27"/>
  <c r="G344" i="27" s="1"/>
  <c r="D343" i="27"/>
  <c r="G343" i="27" s="1"/>
  <c r="D342" i="27"/>
  <c r="G342" i="27" s="1"/>
  <c r="D341" i="27"/>
  <c r="G341" i="27" s="1"/>
  <c r="D340" i="27"/>
  <c r="G340" i="27" s="1"/>
  <c r="D339" i="27"/>
  <c r="D338" i="27"/>
  <c r="G338" i="27" s="1"/>
  <c r="D337" i="27"/>
  <c r="D336" i="27"/>
  <c r="G336" i="27" s="1"/>
  <c r="D335" i="27"/>
  <c r="G335" i="27" s="1"/>
  <c r="D334" i="27"/>
  <c r="G334" i="27" s="1"/>
  <c r="D333" i="27"/>
  <c r="G333" i="27" s="1"/>
  <c r="D332" i="27"/>
  <c r="G332" i="27" s="1"/>
  <c r="D331" i="27"/>
  <c r="G331" i="27" s="1"/>
  <c r="D330" i="27"/>
  <c r="G330" i="27" s="1"/>
  <c r="D329" i="27"/>
  <c r="G329" i="27" s="1"/>
  <c r="D328" i="27"/>
  <c r="G328" i="27" s="1"/>
  <c r="D327" i="27"/>
  <c r="G327" i="27" s="1"/>
  <c r="D326" i="27"/>
  <c r="G326" i="27" s="1"/>
  <c r="D325" i="27"/>
  <c r="G325" i="27" s="1"/>
  <c r="D324" i="27"/>
  <c r="G324" i="27" s="1"/>
  <c r="D323" i="27"/>
  <c r="G323" i="27" s="1"/>
  <c r="D322" i="27"/>
  <c r="G322" i="27" s="1"/>
  <c r="D321" i="27"/>
  <c r="G321" i="27" s="1"/>
  <c r="D320" i="27"/>
  <c r="G320" i="27" s="1"/>
  <c r="D319" i="27"/>
  <c r="G319" i="27" s="1"/>
  <c r="D318" i="27"/>
  <c r="G318" i="27" s="1"/>
  <c r="D317" i="27"/>
  <c r="G317" i="27" s="1"/>
  <c r="D316" i="27"/>
  <c r="G316" i="27" s="1"/>
  <c r="D315" i="27"/>
  <c r="G315" i="27" s="1"/>
  <c r="D314" i="27"/>
  <c r="G314" i="27" s="1"/>
  <c r="D313" i="27"/>
  <c r="G313" i="27" s="1"/>
  <c r="D312" i="27"/>
  <c r="G312" i="27" s="1"/>
  <c r="D311" i="27"/>
  <c r="G311" i="27" s="1"/>
  <c r="D310" i="27"/>
  <c r="G310" i="27" s="1"/>
  <c r="D309" i="27"/>
  <c r="G309" i="27" s="1"/>
  <c r="D308" i="27"/>
  <c r="G308" i="27" s="1"/>
  <c r="D307" i="27"/>
  <c r="G307" i="27" s="1"/>
  <c r="D306" i="27"/>
  <c r="G306" i="27" s="1"/>
  <c r="D305" i="27"/>
  <c r="G305" i="27" s="1"/>
  <c r="D304" i="27"/>
  <c r="G304" i="27" s="1"/>
  <c r="D303" i="27"/>
  <c r="G303" i="27" s="1"/>
  <c r="D302" i="27"/>
  <c r="G302" i="27" s="1"/>
  <c r="D301" i="27"/>
  <c r="G301" i="27" s="1"/>
  <c r="D300" i="27"/>
  <c r="G300" i="27" s="1"/>
  <c r="D299" i="27"/>
  <c r="G299" i="27" s="1"/>
  <c r="D298" i="27"/>
  <c r="G298" i="27" s="1"/>
  <c r="D297" i="27"/>
  <c r="G297" i="27" s="1"/>
  <c r="D296" i="27"/>
  <c r="G296" i="27" s="1"/>
  <c r="D295" i="27"/>
  <c r="G295" i="27" s="1"/>
  <c r="D294" i="27"/>
  <c r="G294" i="27" s="1"/>
  <c r="D293" i="27"/>
  <c r="G293" i="27" s="1"/>
  <c r="D292" i="27"/>
  <c r="G292" i="27" s="1"/>
  <c r="D291" i="27"/>
  <c r="G291" i="27" s="1"/>
  <c r="D290" i="27"/>
  <c r="G290" i="27" s="1"/>
  <c r="D289" i="27"/>
  <c r="G289" i="27" s="1"/>
  <c r="D288" i="27"/>
  <c r="G288" i="27" s="1"/>
  <c r="D287" i="27"/>
  <c r="G287" i="27" s="1"/>
  <c r="D286" i="27"/>
  <c r="G286" i="27" s="1"/>
  <c r="D285" i="27"/>
  <c r="G285" i="27" s="1"/>
  <c r="D284" i="27"/>
  <c r="G284" i="27" s="1"/>
  <c r="D283" i="27"/>
  <c r="G283" i="27" s="1"/>
  <c r="D282" i="27"/>
  <c r="G282" i="27" s="1"/>
  <c r="D281" i="27"/>
  <c r="G281" i="27" s="1"/>
  <c r="D280" i="27"/>
  <c r="G280" i="27" s="1"/>
  <c r="D279" i="27"/>
  <c r="G279" i="27" s="1"/>
  <c r="D278" i="27"/>
  <c r="G278" i="27" s="1"/>
  <c r="D277" i="27"/>
  <c r="G277" i="27" s="1"/>
  <c r="D276" i="27"/>
  <c r="G276" i="27" s="1"/>
  <c r="D275" i="27"/>
  <c r="G275" i="27" s="1"/>
  <c r="D274" i="27"/>
  <c r="G274" i="27" s="1"/>
  <c r="D273" i="27"/>
  <c r="G273" i="27" s="1"/>
  <c r="D272" i="27"/>
  <c r="G272" i="27" s="1"/>
  <c r="D271" i="27"/>
  <c r="G271" i="27" s="1"/>
  <c r="D270" i="27"/>
  <c r="G270" i="27" s="1"/>
  <c r="D269" i="27"/>
  <c r="G269" i="27" s="1"/>
  <c r="D268" i="27"/>
  <c r="G268" i="27" s="1"/>
  <c r="D267" i="27"/>
  <c r="G267" i="27" s="1"/>
  <c r="D266" i="27"/>
  <c r="G266" i="27" s="1"/>
  <c r="D265" i="27"/>
  <c r="G265" i="27" s="1"/>
  <c r="D264" i="27"/>
  <c r="D263" i="27"/>
  <c r="G263" i="27" s="1"/>
  <c r="D262" i="27"/>
  <c r="D261" i="27"/>
  <c r="G261" i="27" s="1"/>
  <c r="D260" i="27"/>
  <c r="G260" i="27" s="1"/>
  <c r="D259" i="27"/>
  <c r="D258" i="27"/>
  <c r="D257" i="27"/>
  <c r="G257" i="27" s="1"/>
  <c r="D256" i="27"/>
  <c r="G256" i="27" s="1"/>
  <c r="D255" i="27"/>
  <c r="D254" i="27"/>
  <c r="G254" i="27" s="1"/>
  <c r="D253" i="27"/>
  <c r="G253" i="27" s="1"/>
  <c r="D252" i="27"/>
  <c r="G252" i="27" s="1"/>
  <c r="D251" i="27"/>
  <c r="D250" i="27"/>
  <c r="G250" i="27" s="1"/>
  <c r="D249" i="27"/>
  <c r="D248" i="27"/>
  <c r="G248" i="27" s="1"/>
  <c r="D247" i="27"/>
  <c r="D246" i="27"/>
  <c r="G246" i="27" s="1"/>
  <c r="D245" i="27"/>
  <c r="G245" i="27" s="1"/>
  <c r="D244" i="27"/>
  <c r="G244" i="27" s="1"/>
  <c r="D243" i="27"/>
  <c r="G243" i="27" s="1"/>
  <c r="D242" i="27"/>
  <c r="D241" i="27"/>
  <c r="D240" i="27"/>
  <c r="G240" i="27" s="1"/>
  <c r="D239" i="27"/>
  <c r="G239" i="27" s="1"/>
  <c r="D238" i="27"/>
  <c r="G238" i="27" s="1"/>
  <c r="D237" i="27"/>
  <c r="G237" i="27" s="1"/>
  <c r="D236" i="27"/>
  <c r="G236" i="27" s="1"/>
  <c r="D235" i="27"/>
  <c r="G235" i="27" s="1"/>
  <c r="D234" i="27"/>
  <c r="G234" i="27" s="1"/>
  <c r="D233" i="27"/>
  <c r="G233" i="27" s="1"/>
  <c r="D232" i="27"/>
  <c r="G232" i="27" s="1"/>
  <c r="D231" i="27"/>
  <c r="G231" i="27" s="1"/>
  <c r="D230" i="27"/>
  <c r="G230" i="27" s="1"/>
  <c r="D229" i="27"/>
  <c r="G229" i="27" s="1"/>
  <c r="D228" i="27"/>
  <c r="G228" i="27" s="1"/>
  <c r="D227" i="27"/>
  <c r="G227" i="27" s="1"/>
  <c r="D226" i="27"/>
  <c r="G226" i="27" s="1"/>
  <c r="D225" i="27"/>
  <c r="G225" i="27" s="1"/>
  <c r="D224" i="27"/>
  <c r="G224" i="27" s="1"/>
  <c r="D223" i="27"/>
  <c r="G223" i="27" s="1"/>
  <c r="D222" i="27"/>
  <c r="G222" i="27" s="1"/>
  <c r="D221" i="27"/>
  <c r="G221" i="27" s="1"/>
  <c r="D220" i="27"/>
  <c r="G220" i="27" s="1"/>
  <c r="D219" i="27"/>
  <c r="G219" i="27" s="1"/>
  <c r="D218" i="27"/>
  <c r="G218" i="27" s="1"/>
  <c r="D217" i="27"/>
  <c r="G217" i="27" s="1"/>
  <c r="D216" i="27"/>
  <c r="G216" i="27" s="1"/>
  <c r="D215" i="27"/>
  <c r="D214" i="27"/>
  <c r="D213" i="27"/>
  <c r="G213" i="27" s="1"/>
  <c r="D212" i="27"/>
  <c r="G212" i="27" s="1"/>
  <c r="D211" i="27"/>
  <c r="G211" i="27" s="1"/>
  <c r="D210" i="27"/>
  <c r="G210" i="27" s="1"/>
  <c r="D209" i="27"/>
  <c r="G209" i="27" s="1"/>
  <c r="D208" i="27"/>
  <c r="D207" i="27"/>
  <c r="D206" i="27"/>
  <c r="D205" i="27"/>
  <c r="G205" i="27" s="1"/>
  <c r="D204" i="27"/>
  <c r="D203" i="27"/>
  <c r="D202" i="27"/>
  <c r="G202" i="27" s="1"/>
  <c r="D201" i="27"/>
  <c r="G201" i="27" s="1"/>
  <c r="D200" i="27"/>
  <c r="G200" i="27" s="1"/>
  <c r="D199" i="27"/>
  <c r="D198" i="27"/>
  <c r="G198" i="27" s="1"/>
  <c r="D197" i="27"/>
  <c r="G197" i="27" s="1"/>
  <c r="D196" i="27"/>
  <c r="G196" i="27" s="1"/>
  <c r="D195" i="27"/>
  <c r="G195" i="27" s="1"/>
  <c r="D194" i="27"/>
  <c r="G194" i="27" s="1"/>
  <c r="D193" i="27"/>
  <c r="D192" i="27"/>
  <c r="G192" i="27" s="1"/>
  <c r="D191" i="27"/>
  <c r="D190" i="27"/>
  <c r="D189" i="27"/>
  <c r="D188" i="27"/>
  <c r="D187" i="27"/>
  <c r="D186" i="27"/>
  <c r="D185" i="27"/>
  <c r="D184" i="27"/>
  <c r="G184" i="27" s="1"/>
  <c r="D183" i="27"/>
  <c r="D182" i="27"/>
  <c r="G182" i="27" s="1"/>
  <c r="D181" i="27"/>
  <c r="D180" i="27"/>
  <c r="G180" i="27" s="1"/>
  <c r="D179" i="27"/>
  <c r="D178" i="27"/>
  <c r="D177" i="27"/>
  <c r="D176" i="27"/>
  <c r="D175" i="27"/>
  <c r="D174" i="27"/>
  <c r="D173" i="27"/>
  <c r="D172" i="27"/>
  <c r="D171" i="27"/>
  <c r="G171" i="27" s="1"/>
  <c r="D170" i="27"/>
  <c r="D169" i="27"/>
  <c r="D168" i="27"/>
  <c r="G168" i="27" s="1"/>
  <c r="D167" i="27"/>
  <c r="D166" i="27"/>
  <c r="G166" i="27" s="1"/>
  <c r="D165" i="27"/>
  <c r="G165" i="27" s="1"/>
  <c r="D164" i="27"/>
  <c r="G164" i="27" s="1"/>
  <c r="D163" i="27"/>
  <c r="G163" i="27" s="1"/>
  <c r="D162" i="27"/>
  <c r="G162" i="27" s="1"/>
  <c r="D161" i="27"/>
  <c r="G161" i="27" s="1"/>
  <c r="D160" i="27"/>
  <c r="G160" i="27" s="1"/>
  <c r="D159" i="27"/>
  <c r="D158" i="27"/>
  <c r="G158" i="27" s="1"/>
  <c r="D157" i="27"/>
  <c r="D156" i="27"/>
  <c r="D155" i="27"/>
  <c r="G155" i="27" s="1"/>
  <c r="D154" i="27"/>
  <c r="G154" i="27" s="1"/>
  <c r="D153" i="27"/>
  <c r="D152" i="27"/>
  <c r="D151" i="27"/>
  <c r="D150" i="27"/>
  <c r="G150" i="27" s="1"/>
  <c r="D149" i="27"/>
  <c r="G149" i="27" s="1"/>
  <c r="D148" i="27"/>
  <c r="G148" i="27" s="1"/>
  <c r="D147" i="27"/>
  <c r="D146" i="27"/>
  <c r="G146" i="27" s="1"/>
  <c r="D145" i="27"/>
  <c r="D144" i="27"/>
  <c r="D143" i="27"/>
  <c r="D142" i="27"/>
  <c r="D141" i="27"/>
  <c r="D140" i="27"/>
  <c r="D139" i="27"/>
  <c r="D138" i="27"/>
  <c r="D137" i="27"/>
  <c r="D136" i="27"/>
  <c r="D135" i="27"/>
  <c r="D134" i="27"/>
  <c r="D133" i="27"/>
  <c r="D132" i="27"/>
  <c r="D131" i="27"/>
  <c r="D130" i="27"/>
  <c r="D129" i="27"/>
  <c r="D128" i="27"/>
  <c r="D127" i="27"/>
  <c r="D126" i="27"/>
  <c r="D125" i="27"/>
  <c r="D124" i="27"/>
  <c r="D123" i="27"/>
  <c r="D122" i="27"/>
  <c r="D121" i="27"/>
  <c r="D120" i="27"/>
  <c r="D119" i="27"/>
  <c r="D118" i="27"/>
  <c r="D117" i="27"/>
  <c r="D116" i="27"/>
  <c r="D115" i="27"/>
  <c r="D114" i="27"/>
  <c r="D113" i="27"/>
  <c r="D112" i="27"/>
  <c r="D111" i="27"/>
  <c r="D110" i="27"/>
  <c r="D109" i="27"/>
  <c r="D108" i="27"/>
  <c r="D107" i="27"/>
  <c r="D106" i="27"/>
  <c r="D105" i="27"/>
  <c r="D104" i="27"/>
  <c r="D103" i="27"/>
  <c r="D102" i="27"/>
  <c r="D101" i="27"/>
  <c r="D100" i="27"/>
  <c r="D99" i="27"/>
  <c r="D98" i="27"/>
  <c r="D97" i="27"/>
  <c r="D96" i="27"/>
  <c r="D95" i="27"/>
  <c r="D94" i="27"/>
  <c r="D93" i="27"/>
  <c r="D92" i="27"/>
  <c r="D91" i="27"/>
  <c r="D90" i="27"/>
  <c r="D89" i="27"/>
  <c r="D88" i="27"/>
  <c r="D87" i="27"/>
  <c r="D86" i="27"/>
  <c r="D85" i="27"/>
  <c r="D84" i="27"/>
  <c r="D83" i="27"/>
  <c r="D82" i="27"/>
  <c r="D81" i="27"/>
  <c r="D80" i="27"/>
  <c r="D79" i="27"/>
  <c r="D78" i="27"/>
  <c r="D77" i="27"/>
  <c r="D76" i="27"/>
  <c r="D75" i="27"/>
  <c r="D74" i="27"/>
  <c r="D73" i="27"/>
  <c r="G73" i="27" s="1"/>
  <c r="D72" i="27"/>
  <c r="G72" i="27" s="1"/>
  <c r="D71" i="27"/>
  <c r="G71" i="27" s="1"/>
  <c r="D70" i="27"/>
  <c r="G70" i="27" s="1"/>
  <c r="D69" i="27"/>
  <c r="G69" i="27" s="1"/>
  <c r="D68" i="27"/>
  <c r="G68" i="27" s="1"/>
  <c r="D67" i="27"/>
  <c r="G67" i="27" s="1"/>
  <c r="D66" i="27"/>
  <c r="G66" i="27" s="1"/>
  <c r="D65" i="27"/>
  <c r="G65" i="27" s="1"/>
  <c r="D64" i="27"/>
  <c r="G64" i="27" s="1"/>
  <c r="D63" i="27"/>
  <c r="G63" i="27" s="1"/>
  <c r="D62" i="27"/>
  <c r="G62" i="27" s="1"/>
  <c r="D61" i="27"/>
  <c r="G61" i="27" s="1"/>
  <c r="D60" i="27"/>
  <c r="G60" i="27" s="1"/>
  <c r="D59" i="27"/>
  <c r="G59" i="27" s="1"/>
  <c r="D58" i="27"/>
  <c r="G58" i="27" s="1"/>
  <c r="D57" i="27"/>
  <c r="G57" i="27" s="1"/>
  <c r="D56" i="27"/>
  <c r="G56" i="27" s="1"/>
  <c r="D55" i="27"/>
  <c r="G55" i="27" s="1"/>
  <c r="D54" i="27"/>
  <c r="G54" i="27" s="1"/>
  <c r="D53" i="27"/>
  <c r="G53" i="27" s="1"/>
  <c r="D52" i="27"/>
  <c r="G52" i="27" s="1"/>
  <c r="D51" i="27"/>
  <c r="G51" i="27" s="1"/>
  <c r="D50" i="27"/>
  <c r="G50" i="27" s="1"/>
  <c r="D49" i="27"/>
  <c r="G49" i="27" s="1"/>
  <c r="D48" i="27"/>
  <c r="G48" i="27" s="1"/>
  <c r="D47" i="27"/>
  <c r="G47" i="27" s="1"/>
  <c r="D46" i="27"/>
  <c r="G46" i="27" s="1"/>
  <c r="D45" i="27"/>
  <c r="G45" i="27" s="1"/>
  <c r="D44" i="27"/>
  <c r="G44" i="27" s="1"/>
  <c r="D43" i="27"/>
  <c r="G43" i="27" s="1"/>
  <c r="D42" i="27"/>
  <c r="G42" i="27" s="1"/>
  <c r="D41" i="27"/>
  <c r="G41" i="27" s="1"/>
  <c r="D40" i="27"/>
  <c r="G40" i="27" s="1"/>
  <c r="D39" i="27"/>
  <c r="G39" i="27" s="1"/>
  <c r="D38" i="27"/>
  <c r="G38" i="27" s="1"/>
  <c r="D37" i="27"/>
  <c r="G37" i="27" s="1"/>
  <c r="D36" i="27"/>
  <c r="G36" i="27" s="1"/>
  <c r="D35" i="27"/>
  <c r="G35" i="27" s="1"/>
  <c r="D34" i="27"/>
  <c r="G34" i="27" s="1"/>
  <c r="D33" i="27"/>
  <c r="G33" i="27" s="1"/>
  <c r="D32" i="27"/>
  <c r="G32" i="27" s="1"/>
  <c r="D31" i="27"/>
  <c r="G31" i="27" s="1"/>
  <c r="D30" i="27"/>
  <c r="G30" i="27" s="1"/>
  <c r="D29" i="27"/>
  <c r="G29" i="27" s="1"/>
  <c r="D28" i="27"/>
  <c r="D27" i="27"/>
  <c r="G27" i="27" s="1"/>
  <c r="D26" i="27"/>
  <c r="D25" i="27"/>
  <c r="D24" i="27"/>
  <c r="G24" i="27" s="1"/>
  <c r="D23" i="27"/>
  <c r="G23" i="27" s="1"/>
  <c r="D22" i="27"/>
  <c r="G22" i="27" s="1"/>
  <c r="D21" i="27"/>
  <c r="G21" i="27" s="1"/>
  <c r="D20" i="27"/>
  <c r="G20" i="27" s="1"/>
  <c r="D19" i="27"/>
  <c r="G19" i="27" s="1"/>
  <c r="D18" i="27"/>
  <c r="G18" i="27" s="1"/>
  <c r="D17" i="27"/>
  <c r="G17" i="27" s="1"/>
  <c r="D16" i="27"/>
  <c r="G16" i="27" s="1"/>
  <c r="D15" i="27"/>
  <c r="G15" i="27" s="1"/>
  <c r="D14" i="27"/>
  <c r="G14" i="27" s="1"/>
  <c r="D13" i="27"/>
  <c r="G13" i="27" s="1"/>
  <c r="D12" i="27"/>
  <c r="G12" i="27" s="1"/>
  <c r="D11" i="27"/>
  <c r="G11" i="27" s="1"/>
  <c r="D10" i="27"/>
  <c r="G10" i="27" s="1"/>
  <c r="D9" i="27"/>
  <c r="G9" i="27" s="1"/>
  <c r="D8" i="27"/>
  <c r="G8" i="27" s="1"/>
  <c r="D7" i="27"/>
  <c r="G7" i="27" s="1"/>
  <c r="D6" i="27"/>
  <c r="G6" i="27" s="1"/>
  <c r="D5" i="27"/>
  <c r="G5" i="27" s="1"/>
  <c r="D459" i="26" l="1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58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34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10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386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62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38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14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290" i="26"/>
  <c r="D289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66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42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18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194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70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46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22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98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74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50" i="26"/>
  <c r="D49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26" i="26"/>
  <c r="D3" i="2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" i="26"/>
  <c r="C29" i="24" l="1"/>
  <c r="R28" i="24"/>
  <c r="Q28" i="24"/>
  <c r="P28" i="24"/>
  <c r="N28" i="24"/>
  <c r="O28" i="24" s="1"/>
  <c r="R27" i="24"/>
  <c r="Q27" i="24"/>
  <c r="P27" i="24"/>
  <c r="N27" i="24"/>
  <c r="O27" i="24" s="1"/>
  <c r="R26" i="24"/>
  <c r="Q26" i="24"/>
  <c r="P26" i="24"/>
  <c r="N26" i="24"/>
  <c r="O26" i="24" s="1"/>
  <c r="R25" i="24"/>
  <c r="Q25" i="24"/>
  <c r="P25" i="24"/>
  <c r="N25" i="24"/>
  <c r="O25" i="24" s="1"/>
  <c r="R24" i="24"/>
  <c r="Q24" i="24"/>
  <c r="P24" i="24"/>
  <c r="N24" i="24"/>
  <c r="O24" i="24" s="1"/>
  <c r="R23" i="24"/>
  <c r="Q23" i="24"/>
  <c r="P23" i="24"/>
  <c r="N23" i="24"/>
  <c r="O23" i="24" s="1"/>
  <c r="R22" i="24"/>
  <c r="Q22" i="24"/>
  <c r="P22" i="24"/>
  <c r="N22" i="24"/>
  <c r="O22" i="24" s="1"/>
  <c r="R21" i="24"/>
  <c r="Q21" i="24"/>
  <c r="P21" i="24"/>
  <c r="N21" i="24"/>
  <c r="O21" i="24" s="1"/>
  <c r="R20" i="24"/>
  <c r="Q20" i="24"/>
  <c r="P20" i="24"/>
  <c r="N20" i="24"/>
  <c r="O20" i="24" s="1"/>
  <c r="R19" i="24"/>
  <c r="Q19" i="24"/>
  <c r="P19" i="24"/>
  <c r="N19" i="24"/>
  <c r="O19" i="24" s="1"/>
  <c r="R18" i="24"/>
  <c r="Q18" i="24"/>
  <c r="P18" i="24"/>
  <c r="N18" i="24"/>
  <c r="O18" i="24" s="1"/>
  <c r="R17" i="24"/>
  <c r="Q17" i="24"/>
  <c r="P17" i="24"/>
  <c r="O17" i="24"/>
  <c r="N17" i="24"/>
  <c r="R16" i="24"/>
  <c r="Q16" i="24"/>
  <c r="P16" i="24"/>
  <c r="N16" i="24"/>
  <c r="O16" i="24" s="1"/>
  <c r="R15" i="24"/>
  <c r="Q15" i="24"/>
  <c r="P15" i="24"/>
  <c r="N15" i="24"/>
  <c r="O15" i="24" s="1"/>
  <c r="R14" i="24"/>
  <c r="Q14" i="24"/>
  <c r="P14" i="24"/>
  <c r="N14" i="24"/>
  <c r="O14" i="24" s="1"/>
  <c r="R13" i="24"/>
  <c r="Q13" i="24"/>
  <c r="P13" i="24"/>
  <c r="N13" i="24"/>
  <c r="O13" i="24" s="1"/>
  <c r="R12" i="24"/>
  <c r="Q12" i="24"/>
  <c r="P12" i="24"/>
  <c r="N12" i="24"/>
  <c r="O12" i="24" s="1"/>
  <c r="R11" i="24"/>
  <c r="Q11" i="24"/>
  <c r="P11" i="24"/>
  <c r="N11" i="24"/>
  <c r="O11" i="24" s="1"/>
  <c r="R10" i="24"/>
  <c r="Q10" i="24"/>
  <c r="P10" i="24"/>
  <c r="N10" i="24"/>
  <c r="O10" i="24" s="1"/>
  <c r="R9" i="24"/>
  <c r="Q9" i="24"/>
  <c r="P9" i="24"/>
  <c r="N9" i="24"/>
  <c r="O9" i="24" s="1"/>
  <c r="R8" i="24"/>
  <c r="Q8" i="24"/>
  <c r="P8" i="24"/>
  <c r="N8" i="24"/>
  <c r="O8" i="24" s="1"/>
  <c r="R7" i="24"/>
  <c r="Q7" i="24"/>
  <c r="P7" i="24"/>
  <c r="N7" i="24"/>
  <c r="O7" i="24" s="1"/>
  <c r="R6" i="24"/>
  <c r="Q6" i="24"/>
  <c r="P6" i="24"/>
  <c r="N6" i="24"/>
  <c r="O6" i="24" s="1"/>
  <c r="R5" i="24"/>
  <c r="Q5" i="24"/>
  <c r="P5" i="24"/>
  <c r="O5" i="24"/>
  <c r="N5" i="24"/>
  <c r="C29" i="23"/>
  <c r="R28" i="23"/>
  <c r="Q28" i="23"/>
  <c r="P28" i="23"/>
  <c r="N28" i="23"/>
  <c r="O28" i="23" s="1"/>
  <c r="R27" i="23"/>
  <c r="Q27" i="23"/>
  <c r="P27" i="23"/>
  <c r="N27" i="23"/>
  <c r="O27" i="23" s="1"/>
  <c r="R26" i="23"/>
  <c r="Q26" i="23"/>
  <c r="P26" i="23"/>
  <c r="N26" i="23"/>
  <c r="O26" i="23" s="1"/>
  <c r="R25" i="23"/>
  <c r="Q25" i="23"/>
  <c r="P25" i="23"/>
  <c r="N25" i="23"/>
  <c r="O25" i="23" s="1"/>
  <c r="R24" i="23"/>
  <c r="Q24" i="23"/>
  <c r="P24" i="23"/>
  <c r="N24" i="23"/>
  <c r="O24" i="23" s="1"/>
  <c r="R23" i="23"/>
  <c r="Q23" i="23"/>
  <c r="P23" i="23"/>
  <c r="N23" i="23"/>
  <c r="O23" i="23" s="1"/>
  <c r="R22" i="23"/>
  <c r="Q22" i="23"/>
  <c r="P22" i="23"/>
  <c r="N22" i="23"/>
  <c r="O22" i="23" s="1"/>
  <c r="R21" i="23"/>
  <c r="Q21" i="23"/>
  <c r="P21" i="23"/>
  <c r="N21" i="23"/>
  <c r="O21" i="23" s="1"/>
  <c r="R20" i="23"/>
  <c r="Q20" i="23"/>
  <c r="P20" i="23"/>
  <c r="N20" i="23"/>
  <c r="O20" i="23" s="1"/>
  <c r="R19" i="23"/>
  <c r="Q19" i="23"/>
  <c r="P19" i="23"/>
  <c r="N19" i="23"/>
  <c r="O19" i="23" s="1"/>
  <c r="R18" i="23"/>
  <c r="Q18" i="23"/>
  <c r="P18" i="23"/>
  <c r="N18" i="23"/>
  <c r="O18" i="23" s="1"/>
  <c r="R17" i="23"/>
  <c r="Q17" i="23"/>
  <c r="P17" i="23"/>
  <c r="O17" i="23"/>
  <c r="N17" i="23"/>
  <c r="R16" i="23"/>
  <c r="Q16" i="23"/>
  <c r="P16" i="23"/>
  <c r="N16" i="23"/>
  <c r="O16" i="23" s="1"/>
  <c r="R15" i="23"/>
  <c r="Q15" i="23"/>
  <c r="P15" i="23"/>
  <c r="N15" i="23"/>
  <c r="O15" i="23" s="1"/>
  <c r="R14" i="23"/>
  <c r="Q14" i="23"/>
  <c r="P14" i="23"/>
  <c r="N14" i="23"/>
  <c r="O14" i="23" s="1"/>
  <c r="R13" i="23"/>
  <c r="Q13" i="23"/>
  <c r="P13" i="23"/>
  <c r="N13" i="23"/>
  <c r="O13" i="23" s="1"/>
  <c r="R12" i="23"/>
  <c r="Q12" i="23"/>
  <c r="P12" i="23"/>
  <c r="N12" i="23"/>
  <c r="O12" i="23" s="1"/>
  <c r="R11" i="23"/>
  <c r="Q11" i="23"/>
  <c r="P11" i="23"/>
  <c r="N11" i="23"/>
  <c r="O11" i="23" s="1"/>
  <c r="R10" i="23"/>
  <c r="Q10" i="23"/>
  <c r="P10" i="23"/>
  <c r="N10" i="23"/>
  <c r="O10" i="23" s="1"/>
  <c r="R9" i="23"/>
  <c r="Q9" i="23"/>
  <c r="P9" i="23"/>
  <c r="N9" i="23"/>
  <c r="O9" i="23" s="1"/>
  <c r="R8" i="23"/>
  <c r="Q8" i="23"/>
  <c r="P8" i="23"/>
  <c r="N8" i="23"/>
  <c r="O8" i="23" s="1"/>
  <c r="R7" i="23"/>
  <c r="Q7" i="23"/>
  <c r="P7" i="23"/>
  <c r="N7" i="23"/>
  <c r="O7" i="23" s="1"/>
  <c r="R6" i="23"/>
  <c r="Q6" i="23"/>
  <c r="P6" i="23"/>
  <c r="N6" i="23"/>
  <c r="O6" i="23" s="1"/>
  <c r="R5" i="23"/>
  <c r="Q5" i="23"/>
  <c r="P5" i="23"/>
  <c r="O5" i="23"/>
  <c r="N5" i="23"/>
  <c r="C29" i="22"/>
  <c r="R28" i="22"/>
  <c r="Q28" i="22"/>
  <c r="P28" i="22"/>
  <c r="N28" i="22"/>
  <c r="O28" i="22" s="1"/>
  <c r="R27" i="22"/>
  <c r="Q27" i="22"/>
  <c r="P27" i="22"/>
  <c r="N27" i="22"/>
  <c r="O27" i="22" s="1"/>
  <c r="R26" i="22"/>
  <c r="Q26" i="22"/>
  <c r="P26" i="22"/>
  <c r="N26" i="22"/>
  <c r="O26" i="22" s="1"/>
  <c r="R25" i="22"/>
  <c r="Q25" i="22"/>
  <c r="P25" i="22"/>
  <c r="N25" i="22"/>
  <c r="O25" i="22" s="1"/>
  <c r="R24" i="22"/>
  <c r="Q24" i="22"/>
  <c r="P24" i="22"/>
  <c r="N24" i="22"/>
  <c r="O24" i="22" s="1"/>
  <c r="R23" i="22"/>
  <c r="Q23" i="22"/>
  <c r="P23" i="22"/>
  <c r="N23" i="22"/>
  <c r="O23" i="22" s="1"/>
  <c r="R22" i="22"/>
  <c r="Q22" i="22"/>
  <c r="P22" i="22"/>
  <c r="N22" i="22"/>
  <c r="O22" i="22" s="1"/>
  <c r="R21" i="22"/>
  <c r="Q21" i="22"/>
  <c r="P21" i="22"/>
  <c r="N21" i="22"/>
  <c r="O21" i="22" s="1"/>
  <c r="R20" i="22"/>
  <c r="Q20" i="22"/>
  <c r="P20" i="22"/>
  <c r="N20" i="22"/>
  <c r="O20" i="22" s="1"/>
  <c r="R19" i="22"/>
  <c r="Q19" i="22"/>
  <c r="P19" i="22"/>
  <c r="N19" i="22"/>
  <c r="O19" i="22" s="1"/>
  <c r="R18" i="22"/>
  <c r="Q18" i="22"/>
  <c r="P18" i="22"/>
  <c r="N18" i="22"/>
  <c r="O18" i="22" s="1"/>
  <c r="R17" i="22"/>
  <c r="Q17" i="22"/>
  <c r="P17" i="22"/>
  <c r="N17" i="22"/>
  <c r="O17" i="22" s="1"/>
  <c r="R16" i="22"/>
  <c r="Q16" i="22"/>
  <c r="P16" i="22"/>
  <c r="N16" i="22"/>
  <c r="O16" i="22" s="1"/>
  <c r="R15" i="22"/>
  <c r="Q15" i="22"/>
  <c r="P15" i="22"/>
  <c r="N15" i="22"/>
  <c r="O15" i="22" s="1"/>
  <c r="R14" i="22"/>
  <c r="Q14" i="22"/>
  <c r="P14" i="22"/>
  <c r="N14" i="22"/>
  <c r="O14" i="22" s="1"/>
  <c r="R13" i="22"/>
  <c r="Q13" i="22"/>
  <c r="P13" i="22"/>
  <c r="N13" i="22"/>
  <c r="O13" i="22" s="1"/>
  <c r="R12" i="22"/>
  <c r="Q12" i="22"/>
  <c r="P12" i="22"/>
  <c r="N12" i="22"/>
  <c r="O12" i="22" s="1"/>
  <c r="R11" i="22"/>
  <c r="Q11" i="22"/>
  <c r="P11" i="22"/>
  <c r="N11" i="22"/>
  <c r="O11" i="22" s="1"/>
  <c r="R10" i="22"/>
  <c r="Q10" i="22"/>
  <c r="P10" i="22"/>
  <c r="N10" i="22"/>
  <c r="O10" i="22" s="1"/>
  <c r="R9" i="22"/>
  <c r="Q9" i="22"/>
  <c r="P9" i="22"/>
  <c r="N9" i="22"/>
  <c r="O9" i="22" s="1"/>
  <c r="R8" i="22"/>
  <c r="Q8" i="22"/>
  <c r="P8" i="22"/>
  <c r="N8" i="22"/>
  <c r="O8" i="22" s="1"/>
  <c r="R7" i="22"/>
  <c r="Q7" i="22"/>
  <c r="P7" i="22"/>
  <c r="N7" i="22"/>
  <c r="O7" i="22" s="1"/>
  <c r="R6" i="22"/>
  <c r="Q6" i="22"/>
  <c r="P6" i="22"/>
  <c r="N6" i="22"/>
  <c r="O6" i="22" s="1"/>
  <c r="R5" i="22"/>
  <c r="Q5" i="22"/>
  <c r="P5" i="22"/>
  <c r="N5" i="22"/>
  <c r="O5" i="22" s="1"/>
  <c r="C29" i="21"/>
  <c r="R28" i="21"/>
  <c r="Q28" i="21"/>
  <c r="P28" i="21"/>
  <c r="N28" i="21"/>
  <c r="O28" i="21" s="1"/>
  <c r="R27" i="21"/>
  <c r="Q27" i="21"/>
  <c r="P27" i="21"/>
  <c r="N27" i="21"/>
  <c r="O27" i="21" s="1"/>
  <c r="R26" i="21"/>
  <c r="Q26" i="21"/>
  <c r="P26" i="21"/>
  <c r="N26" i="21"/>
  <c r="O26" i="21" s="1"/>
  <c r="R25" i="21"/>
  <c r="Q25" i="21"/>
  <c r="P25" i="21"/>
  <c r="N25" i="21"/>
  <c r="O25" i="21" s="1"/>
  <c r="R24" i="21"/>
  <c r="Q24" i="21"/>
  <c r="P24" i="21"/>
  <c r="N24" i="21"/>
  <c r="O24" i="21" s="1"/>
  <c r="R23" i="21"/>
  <c r="Q23" i="21"/>
  <c r="P23" i="21"/>
  <c r="N23" i="21"/>
  <c r="O23" i="21" s="1"/>
  <c r="R22" i="21"/>
  <c r="Q22" i="21"/>
  <c r="P22" i="21"/>
  <c r="N22" i="21"/>
  <c r="O22" i="21" s="1"/>
  <c r="R21" i="21"/>
  <c r="Q21" i="21"/>
  <c r="P21" i="21"/>
  <c r="N21" i="21"/>
  <c r="O21" i="21" s="1"/>
  <c r="R20" i="21"/>
  <c r="Q20" i="21"/>
  <c r="P20" i="21"/>
  <c r="N20" i="21"/>
  <c r="O20" i="21" s="1"/>
  <c r="R19" i="21"/>
  <c r="Q19" i="21"/>
  <c r="P19" i="21"/>
  <c r="N19" i="21"/>
  <c r="O19" i="21" s="1"/>
  <c r="R18" i="21"/>
  <c r="Q18" i="21"/>
  <c r="P18" i="21"/>
  <c r="N18" i="21"/>
  <c r="O18" i="21" s="1"/>
  <c r="R17" i="21"/>
  <c r="Q17" i="21"/>
  <c r="P17" i="21"/>
  <c r="N17" i="21"/>
  <c r="O17" i="21" s="1"/>
  <c r="R16" i="21"/>
  <c r="Q16" i="21"/>
  <c r="P16" i="21"/>
  <c r="N16" i="21"/>
  <c r="O16" i="21" s="1"/>
  <c r="R15" i="21"/>
  <c r="Q15" i="21"/>
  <c r="P15" i="21"/>
  <c r="N15" i="21"/>
  <c r="O15" i="21" s="1"/>
  <c r="R14" i="21"/>
  <c r="Q14" i="21"/>
  <c r="P14" i="21"/>
  <c r="N14" i="21"/>
  <c r="O14" i="21" s="1"/>
  <c r="R13" i="21"/>
  <c r="Q13" i="21"/>
  <c r="P13" i="21"/>
  <c r="N13" i="21"/>
  <c r="O13" i="21" s="1"/>
  <c r="R12" i="21"/>
  <c r="Q12" i="21"/>
  <c r="P12" i="21"/>
  <c r="N12" i="21"/>
  <c r="O12" i="21" s="1"/>
  <c r="R11" i="21"/>
  <c r="Q11" i="21"/>
  <c r="P11" i="21"/>
  <c r="N11" i="21"/>
  <c r="O11" i="21" s="1"/>
  <c r="R10" i="21"/>
  <c r="Q10" i="21"/>
  <c r="P10" i="21"/>
  <c r="N10" i="21"/>
  <c r="O10" i="21" s="1"/>
  <c r="R9" i="21"/>
  <c r="Q9" i="21"/>
  <c r="P9" i="21"/>
  <c r="N9" i="21"/>
  <c r="O9" i="21" s="1"/>
  <c r="R8" i="21"/>
  <c r="Q8" i="21"/>
  <c r="P8" i="21"/>
  <c r="N8" i="21"/>
  <c r="O8" i="21" s="1"/>
  <c r="R7" i="21"/>
  <c r="Q7" i="21"/>
  <c r="P7" i="21"/>
  <c r="N7" i="21"/>
  <c r="O7" i="21" s="1"/>
  <c r="R6" i="21"/>
  <c r="Q6" i="21"/>
  <c r="P6" i="21"/>
  <c r="N6" i="21"/>
  <c r="O6" i="21" s="1"/>
  <c r="R5" i="21"/>
  <c r="Q5" i="21"/>
  <c r="P5" i="21"/>
  <c r="N5" i="21"/>
  <c r="O5" i="21" s="1"/>
  <c r="C29" i="20"/>
  <c r="R28" i="20"/>
  <c r="Q28" i="20"/>
  <c r="P28" i="20"/>
  <c r="N28" i="20"/>
  <c r="O28" i="20" s="1"/>
  <c r="R27" i="20"/>
  <c r="Q27" i="20"/>
  <c r="P27" i="20"/>
  <c r="N27" i="20"/>
  <c r="O27" i="20" s="1"/>
  <c r="R26" i="20"/>
  <c r="Q26" i="20"/>
  <c r="P26" i="20"/>
  <c r="N26" i="20"/>
  <c r="O26" i="20" s="1"/>
  <c r="R25" i="20"/>
  <c r="Q25" i="20"/>
  <c r="P25" i="20"/>
  <c r="N25" i="20"/>
  <c r="O25" i="20" s="1"/>
  <c r="R24" i="20"/>
  <c r="Q24" i="20"/>
  <c r="P24" i="20"/>
  <c r="N24" i="20"/>
  <c r="O24" i="20" s="1"/>
  <c r="R23" i="20"/>
  <c r="Q23" i="20"/>
  <c r="P23" i="20"/>
  <c r="N23" i="20"/>
  <c r="O23" i="20" s="1"/>
  <c r="R22" i="20"/>
  <c r="Q22" i="20"/>
  <c r="P22" i="20"/>
  <c r="N22" i="20"/>
  <c r="O22" i="20" s="1"/>
  <c r="R21" i="20"/>
  <c r="Q21" i="20"/>
  <c r="P21" i="20"/>
  <c r="N21" i="20"/>
  <c r="O21" i="20" s="1"/>
  <c r="R20" i="20"/>
  <c r="Q20" i="20"/>
  <c r="P20" i="20"/>
  <c r="N20" i="20"/>
  <c r="O20" i="20" s="1"/>
  <c r="R19" i="20"/>
  <c r="Q19" i="20"/>
  <c r="P19" i="20"/>
  <c r="N19" i="20"/>
  <c r="O19" i="20" s="1"/>
  <c r="R18" i="20"/>
  <c r="Q18" i="20"/>
  <c r="P18" i="20"/>
  <c r="N18" i="20"/>
  <c r="O18" i="20" s="1"/>
  <c r="R17" i="20"/>
  <c r="Q17" i="20"/>
  <c r="P17" i="20"/>
  <c r="N17" i="20"/>
  <c r="O17" i="20" s="1"/>
  <c r="R16" i="20"/>
  <c r="Q16" i="20"/>
  <c r="P16" i="20"/>
  <c r="N16" i="20"/>
  <c r="O16" i="20" s="1"/>
  <c r="R15" i="20"/>
  <c r="Q15" i="20"/>
  <c r="P15" i="20"/>
  <c r="N15" i="20"/>
  <c r="O15" i="20" s="1"/>
  <c r="R14" i="20"/>
  <c r="Q14" i="20"/>
  <c r="P14" i="20"/>
  <c r="N14" i="20"/>
  <c r="O14" i="20" s="1"/>
  <c r="R13" i="20"/>
  <c r="Q13" i="20"/>
  <c r="P13" i="20"/>
  <c r="N13" i="20"/>
  <c r="O13" i="20" s="1"/>
  <c r="R12" i="20"/>
  <c r="Q12" i="20"/>
  <c r="P12" i="20"/>
  <c r="N12" i="20"/>
  <c r="O12" i="20" s="1"/>
  <c r="R11" i="20"/>
  <c r="Q11" i="20"/>
  <c r="P11" i="20"/>
  <c r="N11" i="20"/>
  <c r="O11" i="20" s="1"/>
  <c r="R10" i="20"/>
  <c r="Q10" i="20"/>
  <c r="P10" i="20"/>
  <c r="N10" i="20"/>
  <c r="O10" i="20" s="1"/>
  <c r="R9" i="20"/>
  <c r="Q9" i="20"/>
  <c r="P9" i="20"/>
  <c r="N9" i="20"/>
  <c r="O9" i="20" s="1"/>
  <c r="R8" i="20"/>
  <c r="Q8" i="20"/>
  <c r="P8" i="20"/>
  <c r="N8" i="20"/>
  <c r="O8" i="20" s="1"/>
  <c r="R7" i="20"/>
  <c r="Q7" i="20"/>
  <c r="P7" i="20"/>
  <c r="N7" i="20"/>
  <c r="O7" i="20" s="1"/>
  <c r="R6" i="20"/>
  <c r="Q6" i="20"/>
  <c r="P6" i="20"/>
  <c r="N6" i="20"/>
  <c r="O6" i="20" s="1"/>
  <c r="R5" i="20"/>
  <c r="Q5" i="20"/>
  <c r="P5" i="20"/>
  <c r="N5" i="20"/>
  <c r="O5" i="20" s="1"/>
  <c r="C29" i="19"/>
  <c r="R28" i="19"/>
  <c r="Q28" i="19"/>
  <c r="P28" i="19"/>
  <c r="N28" i="19"/>
  <c r="O28" i="19" s="1"/>
  <c r="R27" i="19"/>
  <c r="Q27" i="19"/>
  <c r="P27" i="19"/>
  <c r="N27" i="19"/>
  <c r="O27" i="19" s="1"/>
  <c r="R26" i="19"/>
  <c r="Q26" i="19"/>
  <c r="P26" i="19"/>
  <c r="N26" i="19"/>
  <c r="O26" i="19" s="1"/>
  <c r="R25" i="19"/>
  <c r="Q25" i="19"/>
  <c r="P25" i="19"/>
  <c r="N25" i="19"/>
  <c r="O25" i="19" s="1"/>
  <c r="R24" i="19"/>
  <c r="Q24" i="19"/>
  <c r="P24" i="19"/>
  <c r="N24" i="19"/>
  <c r="O24" i="19" s="1"/>
  <c r="R23" i="19"/>
  <c r="Q23" i="19"/>
  <c r="P23" i="19"/>
  <c r="N23" i="19"/>
  <c r="O23" i="19" s="1"/>
  <c r="R22" i="19"/>
  <c r="Q22" i="19"/>
  <c r="P22" i="19"/>
  <c r="N22" i="19"/>
  <c r="O22" i="19" s="1"/>
  <c r="R21" i="19"/>
  <c r="Q21" i="19"/>
  <c r="P21" i="19"/>
  <c r="N21" i="19"/>
  <c r="O21" i="19" s="1"/>
  <c r="R20" i="19"/>
  <c r="Q20" i="19"/>
  <c r="P20" i="19"/>
  <c r="N20" i="19"/>
  <c r="O20" i="19" s="1"/>
  <c r="R19" i="19"/>
  <c r="Q19" i="19"/>
  <c r="P19" i="19"/>
  <c r="N19" i="19"/>
  <c r="O19" i="19" s="1"/>
  <c r="R18" i="19"/>
  <c r="Q18" i="19"/>
  <c r="P18" i="19"/>
  <c r="N18" i="19"/>
  <c r="O18" i="19" s="1"/>
  <c r="R17" i="19"/>
  <c r="Q17" i="19"/>
  <c r="P17" i="19"/>
  <c r="N17" i="19"/>
  <c r="O17" i="19" s="1"/>
  <c r="R16" i="19"/>
  <c r="Q16" i="19"/>
  <c r="P16" i="19"/>
  <c r="N16" i="19"/>
  <c r="O16" i="19" s="1"/>
  <c r="R15" i="19"/>
  <c r="Q15" i="19"/>
  <c r="P15" i="19"/>
  <c r="N15" i="19"/>
  <c r="O15" i="19" s="1"/>
  <c r="R14" i="19"/>
  <c r="Q14" i="19"/>
  <c r="P14" i="19"/>
  <c r="N14" i="19"/>
  <c r="O14" i="19" s="1"/>
  <c r="R13" i="19"/>
  <c r="Q13" i="19"/>
  <c r="P13" i="19"/>
  <c r="N13" i="19"/>
  <c r="O13" i="19" s="1"/>
  <c r="R12" i="19"/>
  <c r="Q12" i="19"/>
  <c r="P12" i="19"/>
  <c r="N12" i="19"/>
  <c r="O12" i="19" s="1"/>
  <c r="R11" i="19"/>
  <c r="Q11" i="19"/>
  <c r="P11" i="19"/>
  <c r="N11" i="19"/>
  <c r="O11" i="19" s="1"/>
  <c r="R10" i="19"/>
  <c r="Q10" i="19"/>
  <c r="P10" i="19"/>
  <c r="N10" i="19"/>
  <c r="O10" i="19" s="1"/>
  <c r="R9" i="19"/>
  <c r="Q9" i="19"/>
  <c r="P9" i="19"/>
  <c r="N9" i="19"/>
  <c r="O9" i="19" s="1"/>
  <c r="R8" i="19"/>
  <c r="Q8" i="19"/>
  <c r="P8" i="19"/>
  <c r="N8" i="19"/>
  <c r="O8" i="19" s="1"/>
  <c r="R7" i="19"/>
  <c r="Q7" i="19"/>
  <c r="P7" i="19"/>
  <c r="N7" i="19"/>
  <c r="O7" i="19" s="1"/>
  <c r="R6" i="19"/>
  <c r="Q6" i="19"/>
  <c r="P6" i="19"/>
  <c r="N6" i="19"/>
  <c r="O6" i="19" s="1"/>
  <c r="R5" i="19"/>
  <c r="Q5" i="19"/>
  <c r="P5" i="19"/>
  <c r="N5" i="19"/>
  <c r="O5" i="19" s="1"/>
  <c r="C29" i="18"/>
  <c r="R28" i="18"/>
  <c r="Q28" i="18"/>
  <c r="P28" i="18"/>
  <c r="N28" i="18"/>
  <c r="O28" i="18" s="1"/>
  <c r="R27" i="18"/>
  <c r="Q27" i="18"/>
  <c r="P27" i="18"/>
  <c r="N27" i="18"/>
  <c r="O27" i="18" s="1"/>
  <c r="R26" i="18"/>
  <c r="Q26" i="18"/>
  <c r="P26" i="18"/>
  <c r="N26" i="18"/>
  <c r="O26" i="18" s="1"/>
  <c r="R25" i="18"/>
  <c r="Q25" i="18"/>
  <c r="P25" i="18"/>
  <c r="N25" i="18"/>
  <c r="O25" i="18" s="1"/>
  <c r="R24" i="18"/>
  <c r="Q24" i="18"/>
  <c r="P24" i="18"/>
  <c r="N24" i="18"/>
  <c r="O24" i="18" s="1"/>
  <c r="R23" i="18"/>
  <c r="Q23" i="18"/>
  <c r="P23" i="18"/>
  <c r="N23" i="18"/>
  <c r="O23" i="18" s="1"/>
  <c r="R22" i="18"/>
  <c r="Q22" i="18"/>
  <c r="P22" i="18"/>
  <c r="N22" i="18"/>
  <c r="O22" i="18" s="1"/>
  <c r="R21" i="18"/>
  <c r="Q21" i="18"/>
  <c r="P21" i="18"/>
  <c r="N21" i="18"/>
  <c r="O21" i="18" s="1"/>
  <c r="R20" i="18"/>
  <c r="Q20" i="18"/>
  <c r="P20" i="18"/>
  <c r="N20" i="18"/>
  <c r="O20" i="18" s="1"/>
  <c r="R19" i="18"/>
  <c r="Q19" i="18"/>
  <c r="P19" i="18"/>
  <c r="N19" i="18"/>
  <c r="O19" i="18" s="1"/>
  <c r="R18" i="18"/>
  <c r="Q18" i="18"/>
  <c r="P18" i="18"/>
  <c r="N18" i="18"/>
  <c r="O18" i="18" s="1"/>
  <c r="R17" i="18"/>
  <c r="Q17" i="18"/>
  <c r="P17" i="18"/>
  <c r="N17" i="18"/>
  <c r="O17" i="18" s="1"/>
  <c r="R16" i="18"/>
  <c r="Q16" i="18"/>
  <c r="P16" i="18"/>
  <c r="N16" i="18"/>
  <c r="O16" i="18" s="1"/>
  <c r="R15" i="18"/>
  <c r="Q15" i="18"/>
  <c r="P15" i="18"/>
  <c r="N15" i="18"/>
  <c r="O15" i="18" s="1"/>
  <c r="R14" i="18"/>
  <c r="Q14" i="18"/>
  <c r="P14" i="18"/>
  <c r="N14" i="18"/>
  <c r="O14" i="18" s="1"/>
  <c r="R13" i="18"/>
  <c r="Q13" i="18"/>
  <c r="P13" i="18"/>
  <c r="N13" i="18"/>
  <c r="O13" i="18" s="1"/>
  <c r="R12" i="18"/>
  <c r="Q12" i="18"/>
  <c r="P12" i="18"/>
  <c r="N12" i="18"/>
  <c r="O12" i="18" s="1"/>
  <c r="R11" i="18"/>
  <c r="Q11" i="18"/>
  <c r="P11" i="18"/>
  <c r="N11" i="18"/>
  <c r="O11" i="18" s="1"/>
  <c r="R10" i="18"/>
  <c r="Q10" i="18"/>
  <c r="P10" i="18"/>
  <c r="N10" i="18"/>
  <c r="O10" i="18" s="1"/>
  <c r="R9" i="18"/>
  <c r="Q9" i="18"/>
  <c r="P9" i="18"/>
  <c r="N9" i="18"/>
  <c r="O9" i="18" s="1"/>
  <c r="R8" i="18"/>
  <c r="Q8" i="18"/>
  <c r="P8" i="18"/>
  <c r="N8" i="18"/>
  <c r="O8" i="18" s="1"/>
  <c r="R7" i="18"/>
  <c r="Q7" i="18"/>
  <c r="P7" i="18"/>
  <c r="N7" i="18"/>
  <c r="O7" i="18" s="1"/>
  <c r="R6" i="18"/>
  <c r="Q6" i="18"/>
  <c r="P6" i="18"/>
  <c r="N6" i="18"/>
  <c r="O6" i="18" s="1"/>
  <c r="R5" i="18"/>
  <c r="Q5" i="18"/>
  <c r="P5" i="18"/>
  <c r="N5" i="18"/>
  <c r="O5" i="18" s="1"/>
  <c r="C29" i="17"/>
  <c r="R28" i="17"/>
  <c r="Q28" i="17"/>
  <c r="P28" i="17"/>
  <c r="N28" i="17"/>
  <c r="O28" i="17" s="1"/>
  <c r="R27" i="17"/>
  <c r="Q27" i="17"/>
  <c r="P27" i="17"/>
  <c r="N27" i="17"/>
  <c r="O27" i="17" s="1"/>
  <c r="R26" i="17"/>
  <c r="Q26" i="17"/>
  <c r="P26" i="17"/>
  <c r="N26" i="17"/>
  <c r="O26" i="17" s="1"/>
  <c r="R25" i="17"/>
  <c r="Q25" i="17"/>
  <c r="P25" i="17"/>
  <c r="N25" i="17"/>
  <c r="O25" i="17" s="1"/>
  <c r="R24" i="17"/>
  <c r="Q24" i="17"/>
  <c r="P24" i="17"/>
  <c r="N24" i="17"/>
  <c r="O24" i="17" s="1"/>
  <c r="R23" i="17"/>
  <c r="Q23" i="17"/>
  <c r="P23" i="17"/>
  <c r="N23" i="17"/>
  <c r="O23" i="17" s="1"/>
  <c r="R22" i="17"/>
  <c r="Q22" i="17"/>
  <c r="P22" i="17"/>
  <c r="N22" i="17"/>
  <c r="O22" i="17" s="1"/>
  <c r="R21" i="17"/>
  <c r="Q21" i="17"/>
  <c r="P21" i="17"/>
  <c r="N21" i="17"/>
  <c r="O21" i="17" s="1"/>
  <c r="R20" i="17"/>
  <c r="Q20" i="17"/>
  <c r="P20" i="17"/>
  <c r="N20" i="17"/>
  <c r="O20" i="17" s="1"/>
  <c r="R19" i="17"/>
  <c r="Q19" i="17"/>
  <c r="P19" i="17"/>
  <c r="N19" i="17"/>
  <c r="O19" i="17" s="1"/>
  <c r="R18" i="17"/>
  <c r="Q18" i="17"/>
  <c r="P18" i="17"/>
  <c r="N18" i="17"/>
  <c r="O18" i="17" s="1"/>
  <c r="R17" i="17"/>
  <c r="Q17" i="17"/>
  <c r="P17" i="17"/>
  <c r="N17" i="17"/>
  <c r="O17" i="17" s="1"/>
  <c r="R16" i="17"/>
  <c r="Q16" i="17"/>
  <c r="P16" i="17"/>
  <c r="N16" i="17"/>
  <c r="O16" i="17" s="1"/>
  <c r="R15" i="17"/>
  <c r="Q15" i="17"/>
  <c r="P15" i="17"/>
  <c r="N15" i="17"/>
  <c r="O15" i="17" s="1"/>
  <c r="R14" i="17"/>
  <c r="Q14" i="17"/>
  <c r="P14" i="17"/>
  <c r="N14" i="17"/>
  <c r="O14" i="17" s="1"/>
  <c r="R13" i="17"/>
  <c r="Q13" i="17"/>
  <c r="P13" i="17"/>
  <c r="N13" i="17"/>
  <c r="O13" i="17" s="1"/>
  <c r="R12" i="17"/>
  <c r="Q12" i="17"/>
  <c r="P12" i="17"/>
  <c r="N12" i="17"/>
  <c r="O12" i="17" s="1"/>
  <c r="R11" i="17"/>
  <c r="Q11" i="17"/>
  <c r="P11" i="17"/>
  <c r="N11" i="17"/>
  <c r="O11" i="17" s="1"/>
  <c r="R10" i="17"/>
  <c r="Q10" i="17"/>
  <c r="P10" i="17"/>
  <c r="N10" i="17"/>
  <c r="O10" i="17" s="1"/>
  <c r="R9" i="17"/>
  <c r="Q9" i="17"/>
  <c r="P9" i="17"/>
  <c r="N9" i="17"/>
  <c r="O9" i="17" s="1"/>
  <c r="R8" i="17"/>
  <c r="Q8" i="17"/>
  <c r="P8" i="17"/>
  <c r="N8" i="17"/>
  <c r="O8" i="17" s="1"/>
  <c r="R7" i="17"/>
  <c r="Q7" i="17"/>
  <c r="P7" i="17"/>
  <c r="N7" i="17"/>
  <c r="O7" i="17" s="1"/>
  <c r="R6" i="17"/>
  <c r="Q6" i="17"/>
  <c r="P6" i="17"/>
  <c r="N6" i="17"/>
  <c r="O6" i="17" s="1"/>
  <c r="R5" i="17"/>
  <c r="Q5" i="17"/>
  <c r="P5" i="17"/>
  <c r="N5" i="17"/>
  <c r="O5" i="17" s="1"/>
  <c r="C29" i="16"/>
  <c r="R28" i="16"/>
  <c r="Q28" i="16"/>
  <c r="P28" i="16"/>
  <c r="N28" i="16"/>
  <c r="O28" i="16" s="1"/>
  <c r="R27" i="16"/>
  <c r="Q27" i="16"/>
  <c r="P27" i="16"/>
  <c r="N27" i="16"/>
  <c r="O27" i="16" s="1"/>
  <c r="R26" i="16"/>
  <c r="Q26" i="16"/>
  <c r="P26" i="16"/>
  <c r="N26" i="16"/>
  <c r="O26" i="16" s="1"/>
  <c r="R25" i="16"/>
  <c r="Q25" i="16"/>
  <c r="P25" i="16"/>
  <c r="N25" i="16"/>
  <c r="O25" i="16" s="1"/>
  <c r="R24" i="16"/>
  <c r="Q24" i="16"/>
  <c r="P24" i="16"/>
  <c r="N24" i="16"/>
  <c r="O24" i="16" s="1"/>
  <c r="R23" i="16"/>
  <c r="Q23" i="16"/>
  <c r="P23" i="16"/>
  <c r="N23" i="16"/>
  <c r="O23" i="16" s="1"/>
  <c r="R22" i="16"/>
  <c r="Q22" i="16"/>
  <c r="P22" i="16"/>
  <c r="N22" i="16"/>
  <c r="O22" i="16" s="1"/>
  <c r="R21" i="16"/>
  <c r="Q21" i="16"/>
  <c r="P21" i="16"/>
  <c r="N21" i="16"/>
  <c r="O21" i="16" s="1"/>
  <c r="R20" i="16"/>
  <c r="Q20" i="16"/>
  <c r="P20" i="16"/>
  <c r="N20" i="16"/>
  <c r="O20" i="16" s="1"/>
  <c r="R19" i="16"/>
  <c r="Q19" i="16"/>
  <c r="P19" i="16"/>
  <c r="N19" i="16"/>
  <c r="O19" i="16" s="1"/>
  <c r="R18" i="16"/>
  <c r="Q18" i="16"/>
  <c r="P18" i="16"/>
  <c r="N18" i="16"/>
  <c r="O18" i="16" s="1"/>
  <c r="R17" i="16"/>
  <c r="Q17" i="16"/>
  <c r="P17" i="16"/>
  <c r="N17" i="16"/>
  <c r="O17" i="16" s="1"/>
  <c r="R16" i="16"/>
  <c r="Q16" i="16"/>
  <c r="P16" i="16"/>
  <c r="N16" i="16"/>
  <c r="O16" i="16" s="1"/>
  <c r="R15" i="16"/>
  <c r="Q15" i="16"/>
  <c r="P15" i="16"/>
  <c r="N15" i="16"/>
  <c r="O15" i="16" s="1"/>
  <c r="R14" i="16"/>
  <c r="Q14" i="16"/>
  <c r="P14" i="16"/>
  <c r="N14" i="16"/>
  <c r="O14" i="16" s="1"/>
  <c r="R13" i="16"/>
  <c r="Q13" i="16"/>
  <c r="P13" i="16"/>
  <c r="N13" i="16"/>
  <c r="O13" i="16" s="1"/>
  <c r="R12" i="16"/>
  <c r="Q12" i="16"/>
  <c r="P12" i="16"/>
  <c r="N12" i="16"/>
  <c r="O12" i="16" s="1"/>
  <c r="R11" i="16"/>
  <c r="Q11" i="16"/>
  <c r="P11" i="16"/>
  <c r="N11" i="16"/>
  <c r="O11" i="16" s="1"/>
  <c r="R10" i="16"/>
  <c r="Q10" i="16"/>
  <c r="P10" i="16"/>
  <c r="N10" i="16"/>
  <c r="O10" i="16" s="1"/>
  <c r="R9" i="16"/>
  <c r="Q9" i="16"/>
  <c r="P9" i="16"/>
  <c r="N9" i="16"/>
  <c r="O9" i="16" s="1"/>
  <c r="R8" i="16"/>
  <c r="Q8" i="16"/>
  <c r="P8" i="16"/>
  <c r="N8" i="16"/>
  <c r="O8" i="16" s="1"/>
  <c r="R7" i="16"/>
  <c r="Q7" i="16"/>
  <c r="P7" i="16"/>
  <c r="N7" i="16"/>
  <c r="O7" i="16" s="1"/>
  <c r="R6" i="16"/>
  <c r="Q6" i="16"/>
  <c r="P6" i="16"/>
  <c r="N6" i="16"/>
  <c r="O6" i="16" s="1"/>
  <c r="R5" i="16"/>
  <c r="Q5" i="16"/>
  <c r="P5" i="16"/>
  <c r="N5" i="16"/>
  <c r="O5" i="16" s="1"/>
  <c r="C29" i="15"/>
  <c r="R28" i="15"/>
  <c r="Q28" i="15"/>
  <c r="P28" i="15"/>
  <c r="N28" i="15"/>
  <c r="O28" i="15" s="1"/>
  <c r="R27" i="15"/>
  <c r="Q27" i="15"/>
  <c r="P27" i="15"/>
  <c r="N27" i="15"/>
  <c r="O27" i="15" s="1"/>
  <c r="R26" i="15"/>
  <c r="Q26" i="15"/>
  <c r="P26" i="15"/>
  <c r="N26" i="15"/>
  <c r="O26" i="15" s="1"/>
  <c r="R25" i="15"/>
  <c r="Q25" i="15"/>
  <c r="P25" i="15"/>
  <c r="N25" i="15"/>
  <c r="O25" i="15" s="1"/>
  <c r="R24" i="15"/>
  <c r="Q24" i="15"/>
  <c r="P24" i="15"/>
  <c r="N24" i="15"/>
  <c r="O24" i="15" s="1"/>
  <c r="R23" i="15"/>
  <c r="Q23" i="15"/>
  <c r="P23" i="15"/>
  <c r="N23" i="15"/>
  <c r="O23" i="15" s="1"/>
  <c r="R22" i="15"/>
  <c r="Q22" i="15"/>
  <c r="P22" i="15"/>
  <c r="N22" i="15"/>
  <c r="O22" i="15" s="1"/>
  <c r="R21" i="15"/>
  <c r="Q21" i="15"/>
  <c r="P21" i="15"/>
  <c r="N21" i="15"/>
  <c r="O21" i="15" s="1"/>
  <c r="R20" i="15"/>
  <c r="Q20" i="15"/>
  <c r="P20" i="15"/>
  <c r="N20" i="15"/>
  <c r="O20" i="15" s="1"/>
  <c r="R19" i="15"/>
  <c r="Q19" i="15"/>
  <c r="P19" i="15"/>
  <c r="N19" i="15"/>
  <c r="O19" i="15" s="1"/>
  <c r="R18" i="15"/>
  <c r="Q18" i="15"/>
  <c r="P18" i="15"/>
  <c r="N18" i="15"/>
  <c r="O18" i="15" s="1"/>
  <c r="R17" i="15"/>
  <c r="Q17" i="15"/>
  <c r="P17" i="15"/>
  <c r="N17" i="15"/>
  <c r="O17" i="15" s="1"/>
  <c r="R16" i="15"/>
  <c r="Q16" i="15"/>
  <c r="P16" i="15"/>
  <c r="N16" i="15"/>
  <c r="O16" i="15" s="1"/>
  <c r="R15" i="15"/>
  <c r="Q15" i="15"/>
  <c r="P15" i="15"/>
  <c r="N15" i="15"/>
  <c r="O15" i="15" s="1"/>
  <c r="R14" i="15"/>
  <c r="Q14" i="15"/>
  <c r="P14" i="15"/>
  <c r="N14" i="15"/>
  <c r="O14" i="15" s="1"/>
  <c r="R13" i="15"/>
  <c r="Q13" i="15"/>
  <c r="P13" i="15"/>
  <c r="N13" i="15"/>
  <c r="O13" i="15" s="1"/>
  <c r="R12" i="15"/>
  <c r="Q12" i="15"/>
  <c r="P12" i="15"/>
  <c r="N12" i="15"/>
  <c r="O12" i="15" s="1"/>
  <c r="R11" i="15"/>
  <c r="Q11" i="15"/>
  <c r="P11" i="15"/>
  <c r="N11" i="15"/>
  <c r="O11" i="15" s="1"/>
  <c r="R10" i="15"/>
  <c r="Q10" i="15"/>
  <c r="P10" i="15"/>
  <c r="N10" i="15"/>
  <c r="O10" i="15" s="1"/>
  <c r="R9" i="15"/>
  <c r="Q9" i="15"/>
  <c r="P9" i="15"/>
  <c r="N9" i="15"/>
  <c r="O9" i="15" s="1"/>
  <c r="R8" i="15"/>
  <c r="Q8" i="15"/>
  <c r="P8" i="15"/>
  <c r="N8" i="15"/>
  <c r="O8" i="15" s="1"/>
  <c r="R7" i="15"/>
  <c r="Q7" i="15"/>
  <c r="P7" i="15"/>
  <c r="N7" i="15"/>
  <c r="O7" i="15" s="1"/>
  <c r="R6" i="15"/>
  <c r="Q6" i="15"/>
  <c r="P6" i="15"/>
  <c r="N6" i="15"/>
  <c r="O6" i="15" s="1"/>
  <c r="R5" i="15"/>
  <c r="Q5" i="15"/>
  <c r="P5" i="15"/>
  <c r="N5" i="15"/>
  <c r="O5" i="15" s="1"/>
  <c r="C29" i="14"/>
  <c r="R28" i="14"/>
  <c r="Q28" i="14"/>
  <c r="P28" i="14"/>
  <c r="N28" i="14"/>
  <c r="O28" i="14" s="1"/>
  <c r="R27" i="14"/>
  <c r="Q27" i="14"/>
  <c r="P27" i="14"/>
  <c r="N27" i="14"/>
  <c r="O27" i="14" s="1"/>
  <c r="R26" i="14"/>
  <c r="Q26" i="14"/>
  <c r="P26" i="14"/>
  <c r="N26" i="14"/>
  <c r="O26" i="14" s="1"/>
  <c r="R25" i="14"/>
  <c r="Q25" i="14"/>
  <c r="P25" i="14"/>
  <c r="N25" i="14"/>
  <c r="O25" i="14" s="1"/>
  <c r="R24" i="14"/>
  <c r="Q24" i="14"/>
  <c r="P24" i="14"/>
  <c r="N24" i="14"/>
  <c r="O24" i="14" s="1"/>
  <c r="R23" i="14"/>
  <c r="Q23" i="14"/>
  <c r="P23" i="14"/>
  <c r="N23" i="14"/>
  <c r="O23" i="14" s="1"/>
  <c r="R22" i="14"/>
  <c r="Q22" i="14"/>
  <c r="P22" i="14"/>
  <c r="N22" i="14"/>
  <c r="O22" i="14" s="1"/>
  <c r="R21" i="14"/>
  <c r="Q21" i="14"/>
  <c r="P21" i="14"/>
  <c r="N21" i="14"/>
  <c r="O21" i="14" s="1"/>
  <c r="R20" i="14"/>
  <c r="Q20" i="14"/>
  <c r="P20" i="14"/>
  <c r="N20" i="14"/>
  <c r="O20" i="14" s="1"/>
  <c r="R19" i="14"/>
  <c r="Q19" i="14"/>
  <c r="P19" i="14"/>
  <c r="N19" i="14"/>
  <c r="O19" i="14" s="1"/>
  <c r="R18" i="14"/>
  <c r="Q18" i="14"/>
  <c r="P18" i="14"/>
  <c r="N18" i="14"/>
  <c r="O18" i="14" s="1"/>
  <c r="R17" i="14"/>
  <c r="Q17" i="14"/>
  <c r="P17" i="14"/>
  <c r="O17" i="14"/>
  <c r="N17" i="14"/>
  <c r="R16" i="14"/>
  <c r="Q16" i="14"/>
  <c r="P16" i="14"/>
  <c r="N16" i="14"/>
  <c r="O16" i="14" s="1"/>
  <c r="R15" i="14"/>
  <c r="Q15" i="14"/>
  <c r="P15" i="14"/>
  <c r="N15" i="14"/>
  <c r="O15" i="14" s="1"/>
  <c r="R14" i="14"/>
  <c r="Q14" i="14"/>
  <c r="P14" i="14"/>
  <c r="N14" i="14"/>
  <c r="O14" i="14" s="1"/>
  <c r="R13" i="14"/>
  <c r="Q13" i="14"/>
  <c r="P13" i="14"/>
  <c r="N13" i="14"/>
  <c r="O13" i="14" s="1"/>
  <c r="R12" i="14"/>
  <c r="Q12" i="14"/>
  <c r="P12" i="14"/>
  <c r="N12" i="14"/>
  <c r="O12" i="14" s="1"/>
  <c r="R11" i="14"/>
  <c r="Q11" i="14"/>
  <c r="P11" i="14"/>
  <c r="N11" i="14"/>
  <c r="O11" i="14" s="1"/>
  <c r="R10" i="14"/>
  <c r="Q10" i="14"/>
  <c r="P10" i="14"/>
  <c r="N10" i="14"/>
  <c r="O10" i="14" s="1"/>
  <c r="R9" i="14"/>
  <c r="Q9" i="14"/>
  <c r="P9" i="14"/>
  <c r="N9" i="14"/>
  <c r="O9" i="14" s="1"/>
  <c r="R8" i="14"/>
  <c r="Q8" i="14"/>
  <c r="P8" i="14"/>
  <c r="N8" i="14"/>
  <c r="O8" i="14" s="1"/>
  <c r="R7" i="14"/>
  <c r="Q7" i="14"/>
  <c r="P7" i="14"/>
  <c r="N7" i="14"/>
  <c r="O7" i="14" s="1"/>
  <c r="R6" i="14"/>
  <c r="Q6" i="14"/>
  <c r="P6" i="14"/>
  <c r="N6" i="14"/>
  <c r="O6" i="14" s="1"/>
  <c r="R5" i="14"/>
  <c r="Q5" i="14"/>
  <c r="P5" i="14"/>
  <c r="N5" i="14"/>
  <c r="O5" i="14" s="1"/>
  <c r="C29" i="13"/>
  <c r="R28" i="13"/>
  <c r="Q28" i="13"/>
  <c r="P28" i="13"/>
  <c r="N28" i="13"/>
  <c r="O28" i="13" s="1"/>
  <c r="R27" i="13"/>
  <c r="Q27" i="13"/>
  <c r="P27" i="13"/>
  <c r="N27" i="13"/>
  <c r="O27" i="13" s="1"/>
  <c r="R26" i="13"/>
  <c r="Q26" i="13"/>
  <c r="P26" i="13"/>
  <c r="N26" i="13"/>
  <c r="O26" i="13" s="1"/>
  <c r="R25" i="13"/>
  <c r="Q25" i="13"/>
  <c r="P25" i="13"/>
  <c r="N25" i="13"/>
  <c r="O25" i="13" s="1"/>
  <c r="R24" i="13"/>
  <c r="Q24" i="13"/>
  <c r="P24" i="13"/>
  <c r="N24" i="13"/>
  <c r="O24" i="13" s="1"/>
  <c r="R23" i="13"/>
  <c r="Q23" i="13"/>
  <c r="P23" i="13"/>
  <c r="N23" i="13"/>
  <c r="O23" i="13" s="1"/>
  <c r="R22" i="13"/>
  <c r="Q22" i="13"/>
  <c r="P22" i="13"/>
  <c r="N22" i="13"/>
  <c r="O22" i="13" s="1"/>
  <c r="R21" i="13"/>
  <c r="Q21" i="13"/>
  <c r="P21" i="13"/>
  <c r="N21" i="13"/>
  <c r="O21" i="13" s="1"/>
  <c r="R20" i="13"/>
  <c r="Q20" i="13"/>
  <c r="P20" i="13"/>
  <c r="N20" i="13"/>
  <c r="O20" i="13" s="1"/>
  <c r="R19" i="13"/>
  <c r="Q19" i="13"/>
  <c r="P19" i="13"/>
  <c r="N19" i="13"/>
  <c r="O19" i="13" s="1"/>
  <c r="R18" i="13"/>
  <c r="Q18" i="13"/>
  <c r="P18" i="13"/>
  <c r="N18" i="13"/>
  <c r="O18" i="13" s="1"/>
  <c r="R17" i="13"/>
  <c r="Q17" i="13"/>
  <c r="P17" i="13"/>
  <c r="N17" i="13"/>
  <c r="O17" i="13" s="1"/>
  <c r="R16" i="13"/>
  <c r="Q16" i="13"/>
  <c r="P16" i="13"/>
  <c r="N16" i="13"/>
  <c r="O16" i="13" s="1"/>
  <c r="R15" i="13"/>
  <c r="Q15" i="13"/>
  <c r="P15" i="13"/>
  <c r="N15" i="13"/>
  <c r="O15" i="13" s="1"/>
  <c r="R14" i="13"/>
  <c r="Q14" i="13"/>
  <c r="P14" i="13"/>
  <c r="N14" i="13"/>
  <c r="O14" i="13" s="1"/>
  <c r="R13" i="13"/>
  <c r="Q13" i="13"/>
  <c r="P13" i="13"/>
  <c r="N13" i="13"/>
  <c r="O13" i="13" s="1"/>
  <c r="R12" i="13"/>
  <c r="Q12" i="13"/>
  <c r="P12" i="13"/>
  <c r="N12" i="13"/>
  <c r="O12" i="13" s="1"/>
  <c r="R11" i="13"/>
  <c r="Q11" i="13"/>
  <c r="P11" i="13"/>
  <c r="N11" i="13"/>
  <c r="O11" i="13" s="1"/>
  <c r="R10" i="13"/>
  <c r="Q10" i="13"/>
  <c r="P10" i="13"/>
  <c r="N10" i="13"/>
  <c r="O10" i="13" s="1"/>
  <c r="R9" i="13"/>
  <c r="Q9" i="13"/>
  <c r="P9" i="13"/>
  <c r="N9" i="13"/>
  <c r="O9" i="13" s="1"/>
  <c r="R8" i="13"/>
  <c r="Q8" i="13"/>
  <c r="P8" i="13"/>
  <c r="N8" i="13"/>
  <c r="O8" i="13" s="1"/>
  <c r="R7" i="13"/>
  <c r="Q7" i="13"/>
  <c r="P7" i="13"/>
  <c r="N7" i="13"/>
  <c r="O7" i="13" s="1"/>
  <c r="R6" i="13"/>
  <c r="Q6" i="13"/>
  <c r="P6" i="13"/>
  <c r="N6" i="13"/>
  <c r="O6" i="13" s="1"/>
  <c r="R5" i="13"/>
  <c r="Q5" i="13"/>
  <c r="P5" i="13"/>
  <c r="O5" i="13"/>
  <c r="N5" i="13"/>
  <c r="C29" i="12"/>
  <c r="R28" i="12"/>
  <c r="Q28" i="12"/>
  <c r="P28" i="12"/>
  <c r="N28" i="12"/>
  <c r="O28" i="12" s="1"/>
  <c r="R27" i="12"/>
  <c r="Q27" i="12"/>
  <c r="P27" i="12"/>
  <c r="N27" i="12"/>
  <c r="O27" i="12" s="1"/>
  <c r="R26" i="12"/>
  <c r="Q26" i="12"/>
  <c r="P26" i="12"/>
  <c r="N26" i="12"/>
  <c r="O26" i="12" s="1"/>
  <c r="R25" i="12"/>
  <c r="Q25" i="12"/>
  <c r="P25" i="12"/>
  <c r="N25" i="12"/>
  <c r="O25" i="12" s="1"/>
  <c r="R24" i="12"/>
  <c r="Q24" i="12"/>
  <c r="P24" i="12"/>
  <c r="N24" i="12"/>
  <c r="O24" i="12" s="1"/>
  <c r="R23" i="12"/>
  <c r="Q23" i="12"/>
  <c r="P23" i="12"/>
  <c r="N23" i="12"/>
  <c r="O23" i="12" s="1"/>
  <c r="R22" i="12"/>
  <c r="Q22" i="12"/>
  <c r="P22" i="12"/>
  <c r="N22" i="12"/>
  <c r="O22" i="12" s="1"/>
  <c r="R21" i="12"/>
  <c r="Q21" i="12"/>
  <c r="P21" i="12"/>
  <c r="N21" i="12"/>
  <c r="O21" i="12" s="1"/>
  <c r="R20" i="12"/>
  <c r="Q20" i="12"/>
  <c r="P20" i="12"/>
  <c r="N20" i="12"/>
  <c r="O20" i="12" s="1"/>
  <c r="R19" i="12"/>
  <c r="Q19" i="12"/>
  <c r="P19" i="12"/>
  <c r="N19" i="12"/>
  <c r="O19" i="12" s="1"/>
  <c r="R18" i="12"/>
  <c r="Q18" i="12"/>
  <c r="P18" i="12"/>
  <c r="N18" i="12"/>
  <c r="O18" i="12" s="1"/>
  <c r="R17" i="12"/>
  <c r="Q17" i="12"/>
  <c r="P17" i="12"/>
  <c r="O17" i="12"/>
  <c r="N17" i="12"/>
  <c r="R16" i="12"/>
  <c r="Q16" i="12"/>
  <c r="P16" i="12"/>
  <c r="N16" i="12"/>
  <c r="O16" i="12" s="1"/>
  <c r="R15" i="12"/>
  <c r="Q15" i="12"/>
  <c r="P15" i="12"/>
  <c r="N15" i="12"/>
  <c r="O15" i="12" s="1"/>
  <c r="R14" i="12"/>
  <c r="Q14" i="12"/>
  <c r="P14" i="12"/>
  <c r="N14" i="12"/>
  <c r="O14" i="12" s="1"/>
  <c r="R13" i="12"/>
  <c r="Q13" i="12"/>
  <c r="P13" i="12"/>
  <c r="N13" i="12"/>
  <c r="O13" i="12" s="1"/>
  <c r="R12" i="12"/>
  <c r="Q12" i="12"/>
  <c r="P12" i="12"/>
  <c r="N12" i="12"/>
  <c r="O12" i="12" s="1"/>
  <c r="R11" i="12"/>
  <c r="Q11" i="12"/>
  <c r="P11" i="12"/>
  <c r="N11" i="12"/>
  <c r="O11" i="12" s="1"/>
  <c r="R10" i="12"/>
  <c r="Q10" i="12"/>
  <c r="P10" i="12"/>
  <c r="N10" i="12"/>
  <c r="O10" i="12" s="1"/>
  <c r="R9" i="12"/>
  <c r="Q9" i="12"/>
  <c r="P9" i="12"/>
  <c r="N9" i="12"/>
  <c r="O9" i="12" s="1"/>
  <c r="R8" i="12"/>
  <c r="Q8" i="12"/>
  <c r="P8" i="12"/>
  <c r="N8" i="12"/>
  <c r="O8" i="12" s="1"/>
  <c r="R7" i="12"/>
  <c r="Q7" i="12"/>
  <c r="P7" i="12"/>
  <c r="N7" i="12"/>
  <c r="O7" i="12" s="1"/>
  <c r="R6" i="12"/>
  <c r="Q6" i="12"/>
  <c r="P6" i="12"/>
  <c r="N6" i="12"/>
  <c r="O6" i="12" s="1"/>
  <c r="R5" i="12"/>
  <c r="Q5" i="12"/>
  <c r="P5" i="12"/>
  <c r="O5" i="12"/>
  <c r="N5" i="12"/>
  <c r="C29" i="11"/>
  <c r="R28" i="11"/>
  <c r="Q28" i="11"/>
  <c r="P28" i="11"/>
  <c r="N28" i="11"/>
  <c r="O28" i="11" s="1"/>
  <c r="R27" i="11"/>
  <c r="Q27" i="11"/>
  <c r="P27" i="11"/>
  <c r="N27" i="11"/>
  <c r="O27" i="11" s="1"/>
  <c r="R26" i="11"/>
  <c r="Q26" i="11"/>
  <c r="P26" i="11"/>
  <c r="N26" i="11"/>
  <c r="O26" i="11" s="1"/>
  <c r="R25" i="11"/>
  <c r="Q25" i="11"/>
  <c r="P25" i="11"/>
  <c r="N25" i="11"/>
  <c r="O25" i="11" s="1"/>
  <c r="R24" i="11"/>
  <c r="Q24" i="11"/>
  <c r="P24" i="11"/>
  <c r="N24" i="11"/>
  <c r="O24" i="11" s="1"/>
  <c r="R23" i="11"/>
  <c r="Q23" i="11"/>
  <c r="P23" i="11"/>
  <c r="N23" i="11"/>
  <c r="O23" i="11" s="1"/>
  <c r="R22" i="11"/>
  <c r="Q22" i="11"/>
  <c r="P22" i="11"/>
  <c r="N22" i="11"/>
  <c r="O22" i="11" s="1"/>
  <c r="R21" i="11"/>
  <c r="Q21" i="11"/>
  <c r="P21" i="11"/>
  <c r="N21" i="11"/>
  <c r="O21" i="11" s="1"/>
  <c r="R20" i="11"/>
  <c r="Q20" i="11"/>
  <c r="P20" i="11"/>
  <c r="N20" i="11"/>
  <c r="O20" i="11" s="1"/>
  <c r="R19" i="11"/>
  <c r="Q19" i="11"/>
  <c r="P19" i="11"/>
  <c r="N19" i="11"/>
  <c r="O19" i="11" s="1"/>
  <c r="R18" i="11"/>
  <c r="Q18" i="11"/>
  <c r="P18" i="11"/>
  <c r="N18" i="11"/>
  <c r="O18" i="11" s="1"/>
  <c r="R17" i="11"/>
  <c r="Q17" i="11"/>
  <c r="P17" i="11"/>
  <c r="N17" i="11"/>
  <c r="O17" i="11" s="1"/>
  <c r="R16" i="11"/>
  <c r="Q16" i="11"/>
  <c r="P16" i="11"/>
  <c r="N16" i="11"/>
  <c r="O16" i="11" s="1"/>
  <c r="R15" i="11"/>
  <c r="Q15" i="11"/>
  <c r="P15" i="11"/>
  <c r="N15" i="11"/>
  <c r="O15" i="11" s="1"/>
  <c r="R14" i="11"/>
  <c r="Q14" i="11"/>
  <c r="P14" i="11"/>
  <c r="N14" i="11"/>
  <c r="O14" i="11" s="1"/>
  <c r="R13" i="11"/>
  <c r="Q13" i="11"/>
  <c r="P13" i="11"/>
  <c r="N13" i="11"/>
  <c r="O13" i="11" s="1"/>
  <c r="R12" i="11"/>
  <c r="Q12" i="11"/>
  <c r="P12" i="11"/>
  <c r="N12" i="11"/>
  <c r="O12" i="11" s="1"/>
  <c r="R11" i="11"/>
  <c r="Q11" i="11"/>
  <c r="P11" i="11"/>
  <c r="N11" i="11"/>
  <c r="O11" i="11" s="1"/>
  <c r="R10" i="11"/>
  <c r="Q10" i="11"/>
  <c r="P10" i="11"/>
  <c r="N10" i="11"/>
  <c r="O10" i="11" s="1"/>
  <c r="R9" i="11"/>
  <c r="Q9" i="11"/>
  <c r="P9" i="11"/>
  <c r="N9" i="11"/>
  <c r="O9" i="11" s="1"/>
  <c r="R8" i="11"/>
  <c r="Q8" i="11"/>
  <c r="P8" i="11"/>
  <c r="N8" i="11"/>
  <c r="O8" i="11" s="1"/>
  <c r="R7" i="11"/>
  <c r="Q7" i="11"/>
  <c r="P7" i="11"/>
  <c r="N7" i="11"/>
  <c r="O7" i="11" s="1"/>
  <c r="R6" i="11"/>
  <c r="Q6" i="11"/>
  <c r="P6" i="11"/>
  <c r="N6" i="11"/>
  <c r="O6" i="11" s="1"/>
  <c r="R5" i="11"/>
  <c r="Q5" i="11"/>
  <c r="P5" i="11"/>
  <c r="O5" i="11"/>
  <c r="N5" i="11"/>
  <c r="C29" i="10"/>
  <c r="R28" i="10"/>
  <c r="Q28" i="10"/>
  <c r="P28" i="10"/>
  <c r="N28" i="10"/>
  <c r="O28" i="10" s="1"/>
  <c r="R27" i="10"/>
  <c r="Q27" i="10"/>
  <c r="P27" i="10"/>
  <c r="N27" i="10"/>
  <c r="O27" i="10" s="1"/>
  <c r="R26" i="10"/>
  <c r="Q26" i="10"/>
  <c r="P26" i="10"/>
  <c r="N26" i="10"/>
  <c r="O26" i="10" s="1"/>
  <c r="R25" i="10"/>
  <c r="Q25" i="10"/>
  <c r="P25" i="10"/>
  <c r="N25" i="10"/>
  <c r="O25" i="10" s="1"/>
  <c r="R24" i="10"/>
  <c r="Q24" i="10"/>
  <c r="P24" i="10"/>
  <c r="O24" i="10"/>
  <c r="N24" i="10"/>
  <c r="R23" i="10"/>
  <c r="Q23" i="10"/>
  <c r="P23" i="10"/>
  <c r="N23" i="10"/>
  <c r="O23" i="10" s="1"/>
  <c r="R22" i="10"/>
  <c r="Q22" i="10"/>
  <c r="P22" i="10"/>
  <c r="N22" i="10"/>
  <c r="O22" i="10" s="1"/>
  <c r="R21" i="10"/>
  <c r="Q21" i="10"/>
  <c r="P21" i="10"/>
  <c r="N21" i="10"/>
  <c r="O21" i="10" s="1"/>
  <c r="R20" i="10"/>
  <c r="Q20" i="10"/>
  <c r="P20" i="10"/>
  <c r="N20" i="10"/>
  <c r="O20" i="10" s="1"/>
  <c r="R19" i="10"/>
  <c r="Q19" i="10"/>
  <c r="P19" i="10"/>
  <c r="N19" i="10"/>
  <c r="O19" i="10" s="1"/>
  <c r="R18" i="10"/>
  <c r="Q18" i="10"/>
  <c r="P18" i="10"/>
  <c r="N18" i="10"/>
  <c r="O18" i="10" s="1"/>
  <c r="R17" i="10"/>
  <c r="Q17" i="10"/>
  <c r="P17" i="10"/>
  <c r="O17" i="10"/>
  <c r="N17" i="10"/>
  <c r="R16" i="10"/>
  <c r="Q16" i="10"/>
  <c r="P16" i="10"/>
  <c r="N16" i="10"/>
  <c r="O16" i="10" s="1"/>
  <c r="R15" i="10"/>
  <c r="Q15" i="10"/>
  <c r="P15" i="10"/>
  <c r="N15" i="10"/>
  <c r="O15" i="10" s="1"/>
  <c r="R14" i="10"/>
  <c r="Q14" i="10"/>
  <c r="P14" i="10"/>
  <c r="N14" i="10"/>
  <c r="O14" i="10" s="1"/>
  <c r="R13" i="10"/>
  <c r="Q13" i="10"/>
  <c r="P13" i="10"/>
  <c r="N13" i="10"/>
  <c r="O13" i="10" s="1"/>
  <c r="R12" i="10"/>
  <c r="Q12" i="10"/>
  <c r="P12" i="10"/>
  <c r="N12" i="10"/>
  <c r="O12" i="10" s="1"/>
  <c r="R11" i="10"/>
  <c r="Q11" i="10"/>
  <c r="P11" i="10"/>
  <c r="N11" i="10"/>
  <c r="O11" i="10" s="1"/>
  <c r="R10" i="10"/>
  <c r="Q10" i="10"/>
  <c r="P10" i="10"/>
  <c r="N10" i="10"/>
  <c r="O10" i="10" s="1"/>
  <c r="R9" i="10"/>
  <c r="Q9" i="10"/>
  <c r="P9" i="10"/>
  <c r="N9" i="10"/>
  <c r="O9" i="10" s="1"/>
  <c r="R8" i="10"/>
  <c r="Q8" i="10"/>
  <c r="P8" i="10"/>
  <c r="N8" i="10"/>
  <c r="O8" i="10" s="1"/>
  <c r="R7" i="10"/>
  <c r="Q7" i="10"/>
  <c r="P7" i="10"/>
  <c r="N7" i="10"/>
  <c r="O7" i="10" s="1"/>
  <c r="R6" i="10"/>
  <c r="Q6" i="10"/>
  <c r="P6" i="10"/>
  <c r="N6" i="10"/>
  <c r="O6" i="10" s="1"/>
  <c r="R5" i="10"/>
  <c r="Q5" i="10"/>
  <c r="P5" i="10"/>
  <c r="O5" i="10"/>
  <c r="N5" i="10"/>
  <c r="C29" i="9"/>
  <c r="R28" i="9"/>
  <c r="Q28" i="9"/>
  <c r="P28" i="9"/>
  <c r="N28" i="9"/>
  <c r="O28" i="9" s="1"/>
  <c r="R27" i="9"/>
  <c r="Q27" i="9"/>
  <c r="P27" i="9"/>
  <c r="N27" i="9"/>
  <c r="O27" i="9" s="1"/>
  <c r="R26" i="9"/>
  <c r="Q26" i="9"/>
  <c r="P26" i="9"/>
  <c r="N26" i="9"/>
  <c r="O26" i="9" s="1"/>
  <c r="R25" i="9"/>
  <c r="Q25" i="9"/>
  <c r="P25" i="9"/>
  <c r="N25" i="9"/>
  <c r="O25" i="9" s="1"/>
  <c r="R24" i="9"/>
  <c r="Q24" i="9"/>
  <c r="P24" i="9"/>
  <c r="N24" i="9"/>
  <c r="O24" i="9" s="1"/>
  <c r="R23" i="9"/>
  <c r="Q23" i="9"/>
  <c r="P23" i="9"/>
  <c r="N23" i="9"/>
  <c r="O23" i="9" s="1"/>
  <c r="R22" i="9"/>
  <c r="Q22" i="9"/>
  <c r="P22" i="9"/>
  <c r="N22" i="9"/>
  <c r="O22" i="9" s="1"/>
  <c r="R21" i="9"/>
  <c r="Q21" i="9"/>
  <c r="P21" i="9"/>
  <c r="N21" i="9"/>
  <c r="O21" i="9" s="1"/>
  <c r="R20" i="9"/>
  <c r="Q20" i="9"/>
  <c r="P20" i="9"/>
  <c r="N20" i="9"/>
  <c r="O20" i="9" s="1"/>
  <c r="R19" i="9"/>
  <c r="Q19" i="9"/>
  <c r="P19" i="9"/>
  <c r="N19" i="9"/>
  <c r="O19" i="9" s="1"/>
  <c r="R18" i="9"/>
  <c r="Q18" i="9"/>
  <c r="P18" i="9"/>
  <c r="N18" i="9"/>
  <c r="O18" i="9" s="1"/>
  <c r="R17" i="9"/>
  <c r="Q17" i="9"/>
  <c r="P17" i="9"/>
  <c r="O17" i="9"/>
  <c r="N17" i="9"/>
  <c r="R16" i="9"/>
  <c r="Q16" i="9"/>
  <c r="P16" i="9"/>
  <c r="N16" i="9"/>
  <c r="O16" i="9" s="1"/>
  <c r="R15" i="9"/>
  <c r="Q15" i="9"/>
  <c r="P15" i="9"/>
  <c r="N15" i="9"/>
  <c r="O15" i="9" s="1"/>
  <c r="R14" i="9"/>
  <c r="Q14" i="9"/>
  <c r="P14" i="9"/>
  <c r="N14" i="9"/>
  <c r="O14" i="9" s="1"/>
  <c r="R13" i="9"/>
  <c r="Q13" i="9"/>
  <c r="P13" i="9"/>
  <c r="N13" i="9"/>
  <c r="O13" i="9" s="1"/>
  <c r="R12" i="9"/>
  <c r="Q12" i="9"/>
  <c r="P12" i="9"/>
  <c r="N12" i="9"/>
  <c r="O12" i="9" s="1"/>
  <c r="R11" i="9"/>
  <c r="Q11" i="9"/>
  <c r="P11" i="9"/>
  <c r="N11" i="9"/>
  <c r="O11" i="9" s="1"/>
  <c r="R10" i="9"/>
  <c r="Q10" i="9"/>
  <c r="P10" i="9"/>
  <c r="N10" i="9"/>
  <c r="O10" i="9" s="1"/>
  <c r="R9" i="9"/>
  <c r="Q9" i="9"/>
  <c r="P9" i="9"/>
  <c r="N9" i="9"/>
  <c r="O9" i="9" s="1"/>
  <c r="R8" i="9"/>
  <c r="Q8" i="9"/>
  <c r="P8" i="9"/>
  <c r="N8" i="9"/>
  <c r="O8" i="9" s="1"/>
  <c r="R7" i="9"/>
  <c r="Q7" i="9"/>
  <c r="P7" i="9"/>
  <c r="N7" i="9"/>
  <c r="O7" i="9" s="1"/>
  <c r="R6" i="9"/>
  <c r="Q6" i="9"/>
  <c r="P6" i="9"/>
  <c r="N6" i="9"/>
  <c r="O6" i="9" s="1"/>
  <c r="R5" i="9"/>
  <c r="Q5" i="9"/>
  <c r="P5" i="9"/>
  <c r="O5" i="9"/>
  <c r="N5" i="9"/>
  <c r="C29" i="8"/>
  <c r="R28" i="8"/>
  <c r="Q28" i="8"/>
  <c r="P28" i="8"/>
  <c r="N28" i="8"/>
  <c r="O28" i="8" s="1"/>
  <c r="R27" i="8"/>
  <c r="Q27" i="8"/>
  <c r="P27" i="8"/>
  <c r="N27" i="8"/>
  <c r="O27" i="8" s="1"/>
  <c r="R26" i="8"/>
  <c r="Q26" i="8"/>
  <c r="P26" i="8"/>
  <c r="N26" i="8"/>
  <c r="O26" i="8" s="1"/>
  <c r="R25" i="8"/>
  <c r="Q25" i="8"/>
  <c r="P25" i="8"/>
  <c r="N25" i="8"/>
  <c r="O25" i="8" s="1"/>
  <c r="R24" i="8"/>
  <c r="Q24" i="8"/>
  <c r="P24" i="8"/>
  <c r="N24" i="8"/>
  <c r="O24" i="8" s="1"/>
  <c r="R23" i="8"/>
  <c r="Q23" i="8"/>
  <c r="P23" i="8"/>
  <c r="N23" i="8"/>
  <c r="O23" i="8" s="1"/>
  <c r="R22" i="8"/>
  <c r="Q22" i="8"/>
  <c r="P22" i="8"/>
  <c r="N22" i="8"/>
  <c r="O22" i="8" s="1"/>
  <c r="R21" i="8"/>
  <c r="Q21" i="8"/>
  <c r="P21" i="8"/>
  <c r="N21" i="8"/>
  <c r="O21" i="8" s="1"/>
  <c r="R20" i="8"/>
  <c r="Q20" i="8"/>
  <c r="P20" i="8"/>
  <c r="N20" i="8"/>
  <c r="O20" i="8" s="1"/>
  <c r="R19" i="8"/>
  <c r="Q19" i="8"/>
  <c r="P19" i="8"/>
  <c r="N19" i="8"/>
  <c r="O19" i="8" s="1"/>
  <c r="R18" i="8"/>
  <c r="Q18" i="8"/>
  <c r="P18" i="8"/>
  <c r="N18" i="8"/>
  <c r="O18" i="8" s="1"/>
  <c r="R17" i="8"/>
  <c r="Q17" i="8"/>
  <c r="P17" i="8"/>
  <c r="O17" i="8"/>
  <c r="N17" i="8"/>
  <c r="R16" i="8"/>
  <c r="Q16" i="8"/>
  <c r="P16" i="8"/>
  <c r="N16" i="8"/>
  <c r="O16" i="8" s="1"/>
  <c r="R15" i="8"/>
  <c r="Q15" i="8"/>
  <c r="P15" i="8"/>
  <c r="N15" i="8"/>
  <c r="O15" i="8" s="1"/>
  <c r="R14" i="8"/>
  <c r="Q14" i="8"/>
  <c r="P14" i="8"/>
  <c r="N14" i="8"/>
  <c r="O14" i="8" s="1"/>
  <c r="R13" i="8"/>
  <c r="Q13" i="8"/>
  <c r="P13" i="8"/>
  <c r="N13" i="8"/>
  <c r="O13" i="8" s="1"/>
  <c r="R12" i="8"/>
  <c r="Q12" i="8"/>
  <c r="P12" i="8"/>
  <c r="N12" i="8"/>
  <c r="O12" i="8" s="1"/>
  <c r="R11" i="8"/>
  <c r="Q11" i="8"/>
  <c r="P11" i="8"/>
  <c r="N11" i="8"/>
  <c r="O11" i="8" s="1"/>
  <c r="R10" i="8"/>
  <c r="Q10" i="8"/>
  <c r="P10" i="8"/>
  <c r="N10" i="8"/>
  <c r="O10" i="8" s="1"/>
  <c r="R9" i="8"/>
  <c r="Q9" i="8"/>
  <c r="P9" i="8"/>
  <c r="N9" i="8"/>
  <c r="O9" i="8" s="1"/>
  <c r="R8" i="8"/>
  <c r="Q8" i="8"/>
  <c r="P8" i="8"/>
  <c r="N8" i="8"/>
  <c r="O8" i="8" s="1"/>
  <c r="R7" i="8"/>
  <c r="Q7" i="8"/>
  <c r="P7" i="8"/>
  <c r="N7" i="8"/>
  <c r="O7" i="8" s="1"/>
  <c r="R6" i="8"/>
  <c r="Q6" i="8"/>
  <c r="P6" i="8"/>
  <c r="N6" i="8"/>
  <c r="O6" i="8" s="1"/>
  <c r="R5" i="8"/>
  <c r="Q5" i="8"/>
  <c r="P5" i="8"/>
  <c r="O5" i="8"/>
  <c r="N5" i="8"/>
  <c r="C29" i="6"/>
  <c r="R28" i="6"/>
  <c r="Q28" i="6"/>
  <c r="P28" i="6"/>
  <c r="N28" i="6"/>
  <c r="O28" i="6" s="1"/>
  <c r="R27" i="6"/>
  <c r="Q27" i="6"/>
  <c r="P27" i="6"/>
  <c r="N27" i="6"/>
  <c r="O27" i="6" s="1"/>
  <c r="R26" i="6"/>
  <c r="Q26" i="6"/>
  <c r="P26" i="6"/>
  <c r="N26" i="6"/>
  <c r="O26" i="6" s="1"/>
  <c r="R25" i="6"/>
  <c r="Q25" i="6"/>
  <c r="P25" i="6"/>
  <c r="N25" i="6"/>
  <c r="O25" i="6" s="1"/>
  <c r="R24" i="6"/>
  <c r="Q24" i="6"/>
  <c r="P24" i="6"/>
  <c r="N24" i="6"/>
  <c r="O24" i="6" s="1"/>
  <c r="R23" i="6"/>
  <c r="Q23" i="6"/>
  <c r="P23" i="6"/>
  <c r="N23" i="6"/>
  <c r="O23" i="6" s="1"/>
  <c r="R22" i="6"/>
  <c r="Q22" i="6"/>
  <c r="P22" i="6"/>
  <c r="N22" i="6"/>
  <c r="O22" i="6" s="1"/>
  <c r="R21" i="6"/>
  <c r="Q21" i="6"/>
  <c r="P21" i="6"/>
  <c r="N21" i="6"/>
  <c r="O21" i="6" s="1"/>
  <c r="R20" i="6"/>
  <c r="Q20" i="6"/>
  <c r="P20" i="6"/>
  <c r="N20" i="6"/>
  <c r="O20" i="6" s="1"/>
  <c r="R19" i="6"/>
  <c r="Q19" i="6"/>
  <c r="P19" i="6"/>
  <c r="N19" i="6"/>
  <c r="O19" i="6" s="1"/>
  <c r="R18" i="6"/>
  <c r="Q18" i="6"/>
  <c r="P18" i="6"/>
  <c r="N18" i="6"/>
  <c r="O18" i="6" s="1"/>
  <c r="R17" i="6"/>
  <c r="Q17" i="6"/>
  <c r="P17" i="6"/>
  <c r="O17" i="6"/>
  <c r="N17" i="6"/>
  <c r="R16" i="6"/>
  <c r="Q16" i="6"/>
  <c r="P16" i="6"/>
  <c r="N16" i="6"/>
  <c r="O16" i="6" s="1"/>
  <c r="R15" i="6"/>
  <c r="Q15" i="6"/>
  <c r="P15" i="6"/>
  <c r="N15" i="6"/>
  <c r="O15" i="6" s="1"/>
  <c r="R14" i="6"/>
  <c r="Q14" i="6"/>
  <c r="P14" i="6"/>
  <c r="N14" i="6"/>
  <c r="O14" i="6" s="1"/>
  <c r="R13" i="6"/>
  <c r="Q13" i="6"/>
  <c r="P13" i="6"/>
  <c r="N13" i="6"/>
  <c r="O13" i="6" s="1"/>
  <c r="R12" i="6"/>
  <c r="Q12" i="6"/>
  <c r="P12" i="6"/>
  <c r="N12" i="6"/>
  <c r="O12" i="6" s="1"/>
  <c r="R11" i="6"/>
  <c r="Q11" i="6"/>
  <c r="P11" i="6"/>
  <c r="N11" i="6"/>
  <c r="O11" i="6" s="1"/>
  <c r="R10" i="6"/>
  <c r="Q10" i="6"/>
  <c r="P10" i="6"/>
  <c r="N10" i="6"/>
  <c r="O10" i="6" s="1"/>
  <c r="R9" i="6"/>
  <c r="Q9" i="6"/>
  <c r="P9" i="6"/>
  <c r="N9" i="6"/>
  <c r="O9" i="6" s="1"/>
  <c r="R8" i="6"/>
  <c r="Q8" i="6"/>
  <c r="P8" i="6"/>
  <c r="N8" i="6"/>
  <c r="O8" i="6" s="1"/>
  <c r="R7" i="6"/>
  <c r="Q7" i="6"/>
  <c r="P7" i="6"/>
  <c r="N7" i="6"/>
  <c r="O7" i="6" s="1"/>
  <c r="R6" i="6"/>
  <c r="Q6" i="6"/>
  <c r="P6" i="6"/>
  <c r="N6" i="6"/>
  <c r="O6" i="6" s="1"/>
  <c r="R5" i="6"/>
  <c r="Q5" i="6"/>
  <c r="P5" i="6"/>
  <c r="N5" i="6"/>
  <c r="O5" i="6" s="1"/>
  <c r="R27" i="5"/>
  <c r="Q27" i="5"/>
  <c r="P27" i="5"/>
  <c r="N27" i="5"/>
  <c r="O27" i="5" s="1"/>
  <c r="R26" i="5"/>
  <c r="Q26" i="5"/>
  <c r="P26" i="5"/>
  <c r="N26" i="5"/>
  <c r="O26" i="5" s="1"/>
  <c r="R25" i="5"/>
  <c r="Q25" i="5"/>
  <c r="P25" i="5"/>
  <c r="N25" i="5"/>
  <c r="O25" i="5" s="1"/>
  <c r="R24" i="5"/>
  <c r="Q24" i="5"/>
  <c r="P24" i="5"/>
  <c r="N24" i="5"/>
  <c r="O24" i="5" s="1"/>
  <c r="R28" i="5"/>
  <c r="Q28" i="5"/>
  <c r="P28" i="5"/>
  <c r="N28" i="5"/>
  <c r="O28" i="5" s="1"/>
  <c r="R23" i="5"/>
  <c r="Q23" i="5"/>
  <c r="P23" i="5"/>
  <c r="N23" i="5"/>
  <c r="O23" i="5" s="1"/>
  <c r="R22" i="5"/>
  <c r="Q22" i="5"/>
  <c r="P22" i="5"/>
  <c r="N22" i="5"/>
  <c r="O22" i="5" s="1"/>
  <c r="R21" i="5"/>
  <c r="Q21" i="5"/>
  <c r="P21" i="5"/>
  <c r="N21" i="5"/>
  <c r="O21" i="5" s="1"/>
  <c r="R20" i="5"/>
  <c r="Q20" i="5"/>
  <c r="P20" i="5"/>
  <c r="N20" i="5"/>
  <c r="O20" i="5" s="1"/>
  <c r="R19" i="5"/>
  <c r="Q19" i="5"/>
  <c r="P19" i="5"/>
  <c r="N19" i="5"/>
  <c r="O19" i="5" s="1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P6" i="5"/>
  <c r="R6" i="5"/>
  <c r="P7" i="5"/>
  <c r="R7" i="5"/>
  <c r="P8" i="5"/>
  <c r="R8" i="5"/>
  <c r="P9" i="5"/>
  <c r="R9" i="5"/>
  <c r="P10" i="5"/>
  <c r="R10" i="5"/>
  <c r="P11" i="5"/>
  <c r="R11" i="5"/>
  <c r="P12" i="5"/>
  <c r="R12" i="5"/>
  <c r="P13" i="5"/>
  <c r="R13" i="5"/>
  <c r="P14" i="5"/>
  <c r="R14" i="5"/>
  <c r="P15" i="5"/>
  <c r="R15" i="5"/>
  <c r="P16" i="5"/>
  <c r="R16" i="5"/>
  <c r="P17" i="5"/>
  <c r="R17" i="5"/>
  <c r="P18" i="5"/>
  <c r="R18" i="5"/>
  <c r="R5" i="5"/>
  <c r="P5" i="5"/>
  <c r="N6" i="5" l="1"/>
  <c r="O6" i="5" s="1"/>
  <c r="N7" i="5"/>
  <c r="O7" i="5" s="1"/>
  <c r="N8" i="5"/>
  <c r="O8" i="5" s="1"/>
  <c r="N9" i="5"/>
  <c r="O9" i="5" s="1"/>
  <c r="N10" i="5"/>
  <c r="O10" i="5" s="1"/>
  <c r="N11" i="5"/>
  <c r="O11" i="5" s="1"/>
  <c r="N12" i="5"/>
  <c r="O12" i="5" s="1"/>
  <c r="N13" i="5"/>
  <c r="O13" i="5" s="1"/>
  <c r="N14" i="5"/>
  <c r="O14" i="5" s="1"/>
  <c r="N15" i="5"/>
  <c r="O15" i="5" s="1"/>
  <c r="N16" i="5"/>
  <c r="O16" i="5" s="1"/>
  <c r="N17" i="5"/>
  <c r="O17" i="5" s="1"/>
  <c r="N18" i="5"/>
  <c r="O18" i="5" s="1"/>
  <c r="N5" i="5"/>
  <c r="O5" i="5" s="1"/>
  <c r="C29" i="5"/>
  <c r="CS60" i="4" l="1"/>
  <c r="BU60" i="4"/>
  <c r="DG59" i="4"/>
  <c r="DF59" i="4"/>
  <c r="DE59" i="4"/>
  <c r="DE60" i="4" s="1"/>
  <c r="DD59" i="4"/>
  <c r="DC59" i="4"/>
  <c r="DB59" i="4"/>
  <c r="DB60" i="4" s="1"/>
  <c r="DA59" i="4"/>
  <c r="CZ59" i="4"/>
  <c r="CY59" i="4"/>
  <c r="CY60" i="4" s="1"/>
  <c r="CX59" i="4"/>
  <c r="CW59" i="4"/>
  <c r="CV59" i="4"/>
  <c r="CV60" i="4" s="1"/>
  <c r="CU59" i="4"/>
  <c r="CT59" i="4"/>
  <c r="CS59" i="4"/>
  <c r="CR59" i="4"/>
  <c r="CQ59" i="4"/>
  <c r="CP59" i="4"/>
  <c r="CP60" i="4" s="1"/>
  <c r="CO59" i="4"/>
  <c r="CM60" i="4" s="1"/>
  <c r="CN59" i="4"/>
  <c r="CM59" i="4"/>
  <c r="CL59" i="4"/>
  <c r="CK59" i="4"/>
  <c r="CJ59" i="4"/>
  <c r="CI59" i="4"/>
  <c r="CH59" i="4"/>
  <c r="CG59" i="4"/>
  <c r="CG60" i="4" s="1"/>
  <c r="CF59" i="4"/>
  <c r="CE59" i="4"/>
  <c r="CD59" i="4"/>
  <c r="CD60" i="4" s="1"/>
  <c r="CC59" i="4"/>
  <c r="CB59" i="4"/>
  <c r="CA59" i="4"/>
  <c r="CA60" i="4" s="1"/>
  <c r="BZ59" i="4"/>
  <c r="BY59" i="4"/>
  <c r="BX59" i="4"/>
  <c r="BX60" i="4" s="1"/>
  <c r="BW59" i="4"/>
  <c r="BV59" i="4"/>
  <c r="BU59" i="4"/>
  <c r="BT59" i="4"/>
  <c r="BS59" i="4"/>
  <c r="BR59" i="4"/>
  <c r="BR60" i="4" s="1"/>
  <c r="BQ59" i="4"/>
  <c r="BO60" i="4" s="1"/>
  <c r="BP59" i="4"/>
  <c r="BO59" i="4"/>
  <c r="BN59" i="4"/>
  <c r="BM59" i="4"/>
  <c r="BL59" i="4"/>
  <c r="BK59" i="4"/>
  <c r="BJ59" i="4"/>
  <c r="BI59" i="4"/>
  <c r="BI60" i="4" s="1"/>
  <c r="BH59" i="4"/>
  <c r="BG59" i="4"/>
  <c r="BF59" i="4"/>
  <c r="BF60" i="4" s="1"/>
  <c r="BE59" i="4"/>
  <c r="BD59" i="4"/>
  <c r="BC59" i="4"/>
  <c r="BC60" i="4" s="1"/>
  <c r="BB59" i="4"/>
  <c r="BA59" i="4"/>
  <c r="AZ59" i="4"/>
  <c r="AZ60" i="4" s="1"/>
  <c r="AY59" i="4"/>
  <c r="AX59" i="4"/>
  <c r="AW59" i="4"/>
  <c r="AV59" i="4"/>
  <c r="AU59" i="4"/>
  <c r="AT59" i="4"/>
  <c r="AT60" i="4" s="1"/>
  <c r="AS59" i="4"/>
  <c r="AQ60" i="4" s="1"/>
  <c r="AR59" i="4"/>
  <c r="AQ59" i="4"/>
  <c r="AP59" i="4"/>
  <c r="AO59" i="4"/>
  <c r="AN59" i="4"/>
  <c r="AM59" i="4"/>
  <c r="AL59" i="4"/>
  <c r="AK59" i="4"/>
  <c r="AK60" i="4" s="1"/>
  <c r="AJ59" i="4"/>
  <c r="AI59" i="4"/>
  <c r="AH59" i="4"/>
  <c r="AH60" i="4" s="1"/>
  <c r="AG59" i="4"/>
  <c r="AF59" i="4"/>
  <c r="AE59" i="4"/>
  <c r="AE60" i="4" s="1"/>
  <c r="AD59" i="4"/>
  <c r="AC59" i="4"/>
  <c r="AB59" i="4"/>
  <c r="AB60" i="4" s="1"/>
  <c r="AA59" i="4"/>
  <c r="Z59" i="4"/>
  <c r="Y59" i="4"/>
  <c r="X59" i="4"/>
  <c r="W59" i="4"/>
  <c r="V59" i="4"/>
  <c r="V60" i="4" s="1"/>
  <c r="U59" i="4"/>
  <c r="S60" i="4" s="1"/>
  <c r="T59" i="4"/>
  <c r="S59" i="4"/>
  <c r="R59" i="4"/>
  <c r="Q59" i="4"/>
  <c r="P59" i="4"/>
  <c r="O59" i="4"/>
  <c r="N59" i="4"/>
  <c r="M59" i="4"/>
  <c r="M60" i="4" s="1"/>
  <c r="L59" i="4"/>
  <c r="K59" i="4"/>
  <c r="J59" i="4"/>
  <c r="J60" i="4" s="1"/>
  <c r="I59" i="4"/>
  <c r="H59" i="4"/>
  <c r="G59" i="4"/>
  <c r="G60" i="4" s="1"/>
  <c r="C59" i="4"/>
  <c r="DH58" i="4"/>
  <c r="E58" i="4"/>
  <c r="D58" i="4"/>
  <c r="DH57" i="4"/>
  <c r="E57" i="4"/>
  <c r="D57" i="4"/>
  <c r="DH56" i="4"/>
  <c r="E56" i="4"/>
  <c r="D56" i="4"/>
  <c r="DH55" i="4"/>
  <c r="E55" i="4"/>
  <c r="D55" i="4"/>
  <c r="DH54" i="4"/>
  <c r="E54" i="4"/>
  <c r="D54" i="4"/>
  <c r="DH53" i="4"/>
  <c r="F53" i="4"/>
  <c r="E53" i="4"/>
  <c r="D53" i="4"/>
  <c r="DH52" i="4"/>
  <c r="DH59" i="4" s="1"/>
  <c r="DH60" i="4" s="1"/>
  <c r="F52" i="4"/>
  <c r="F59" i="4" s="1"/>
  <c r="E52" i="4"/>
  <c r="E59" i="4" s="1"/>
  <c r="D52" i="4"/>
  <c r="D59" i="4" s="1"/>
  <c r="DH51" i="4"/>
  <c r="F51" i="4"/>
  <c r="E51" i="4"/>
  <c r="D51" i="4"/>
  <c r="DG46" i="4"/>
  <c r="DF46" i="4"/>
  <c r="DE46" i="4"/>
  <c r="DD46" i="4"/>
  <c r="DC46" i="4"/>
  <c r="DB46" i="4"/>
  <c r="DA46" i="4"/>
  <c r="CZ46" i="4"/>
  <c r="CY46" i="4"/>
  <c r="CX46" i="4"/>
  <c r="CW46" i="4"/>
  <c r="CV46" i="4"/>
  <c r="CU46" i="4"/>
  <c r="CT46" i="4"/>
  <c r="CS46" i="4"/>
  <c r="CR46" i="4"/>
  <c r="CQ46" i="4"/>
  <c r="CP46" i="4"/>
  <c r="CO46" i="4"/>
  <c r="CN46" i="4"/>
  <c r="CM46" i="4"/>
  <c r="CL46" i="4"/>
  <c r="CK46" i="4"/>
  <c r="CJ46" i="4"/>
  <c r="CJ60" i="4" s="1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V46" i="4"/>
  <c r="BU46" i="4"/>
  <c r="BT46" i="4"/>
  <c r="BS46" i="4"/>
  <c r="BR46" i="4"/>
  <c r="BQ46" i="4"/>
  <c r="BP46" i="4"/>
  <c r="BO46" i="4"/>
  <c r="BN46" i="4"/>
  <c r="BM46" i="4"/>
  <c r="BL46" i="4"/>
  <c r="BL60" i="4" s="1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N60" i="4" s="1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P60" i="4" s="1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DH45" i="4"/>
  <c r="DH44" i="4"/>
  <c r="DH43" i="4"/>
  <c r="DH42" i="4"/>
  <c r="DH41" i="4"/>
  <c r="DH40" i="4"/>
  <c r="DH39" i="4"/>
  <c r="DH38" i="4"/>
  <c r="DH37" i="4"/>
  <c r="DH36" i="4"/>
  <c r="DH35" i="4"/>
  <c r="DH34" i="4"/>
  <c r="DH33" i="4"/>
  <c r="DH46" i="4" s="1"/>
  <c r="DH32" i="4"/>
  <c r="DH31" i="4"/>
  <c r="DH30" i="4"/>
  <c r="DG25" i="4"/>
  <c r="DF25" i="4"/>
  <c r="DE25" i="4"/>
  <c r="DD25" i="4"/>
  <c r="DC25" i="4"/>
  <c r="DB25" i="4"/>
  <c r="DA25" i="4"/>
  <c r="CZ25" i="4"/>
  <c r="CY25" i="4"/>
  <c r="CX25" i="4"/>
  <c r="CW25" i="4"/>
  <c r="CV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U25" i="4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W60" i="4" s="1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Y60" i="4" s="1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DH24" i="4"/>
  <c r="DH23" i="4"/>
  <c r="DH22" i="4"/>
  <c r="DH21" i="4"/>
  <c r="DH20" i="4"/>
  <c r="DH19" i="4"/>
  <c r="DH18" i="4"/>
  <c r="DH17" i="4"/>
  <c r="DH16" i="4"/>
  <c r="DH15" i="4"/>
  <c r="DH14" i="4"/>
  <c r="DH13" i="4"/>
  <c r="DH12" i="4"/>
  <c r="DH11" i="4"/>
  <c r="DH10" i="4"/>
  <c r="DH9" i="4"/>
  <c r="DH25" i="4" s="1"/>
  <c r="DH60" i="2"/>
  <c r="DH59" i="2"/>
  <c r="DH52" i="2"/>
  <c r="DH53" i="2"/>
  <c r="DH54" i="2"/>
  <c r="DH55" i="2"/>
  <c r="DH56" i="2"/>
  <c r="DH57" i="2"/>
  <c r="DH58" i="2"/>
  <c r="DH51" i="2"/>
  <c r="AJ46" i="2"/>
  <c r="AI46" i="2"/>
  <c r="AH46" i="2"/>
  <c r="DG46" i="2"/>
  <c r="DF46" i="2"/>
  <c r="DE46" i="2"/>
  <c r="DD46" i="2"/>
  <c r="DC46" i="2"/>
  <c r="DB46" i="2"/>
  <c r="DA46" i="2"/>
  <c r="CZ46" i="2"/>
  <c r="CY46" i="2"/>
  <c r="CX46" i="2"/>
  <c r="CW46" i="2"/>
  <c r="CV46" i="2"/>
  <c r="CU46" i="2"/>
  <c r="CT46" i="2"/>
  <c r="CS46" i="2"/>
  <c r="CR46" i="2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DH45" i="2"/>
  <c r="DH44" i="2"/>
  <c r="DH43" i="2"/>
  <c r="DH42" i="2"/>
  <c r="DH41" i="2"/>
  <c r="DH40" i="2"/>
  <c r="DH39" i="2"/>
  <c r="DH38" i="2"/>
  <c r="DH37" i="2"/>
  <c r="DH36" i="2"/>
  <c r="DH35" i="2"/>
  <c r="DH34" i="2"/>
  <c r="DH33" i="2"/>
  <c r="DH32" i="2"/>
  <c r="DH31" i="2"/>
  <c r="DH30" i="2"/>
  <c r="DH10" i="2"/>
  <c r="DH11" i="2"/>
  <c r="DH12" i="2"/>
  <c r="DH13" i="2"/>
  <c r="DH14" i="2"/>
  <c r="DH15" i="2"/>
  <c r="DH16" i="2"/>
  <c r="DH17" i="2"/>
  <c r="DH18" i="2"/>
  <c r="DH19" i="2"/>
  <c r="DH20" i="2"/>
  <c r="DH21" i="2"/>
  <c r="DH22" i="2"/>
  <c r="DH23" i="2"/>
  <c r="DH24" i="2"/>
  <c r="DH9" i="2"/>
  <c r="DH25" i="2" s="1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G25" i="2"/>
  <c r="BH25" i="2"/>
  <c r="BI25" i="2"/>
  <c r="BJ25" i="2"/>
  <c r="BK25" i="2"/>
  <c r="BL25" i="2"/>
  <c r="BM25" i="2"/>
  <c r="BN25" i="2"/>
  <c r="BO25" i="2"/>
  <c r="BP25" i="2"/>
  <c r="BQ25" i="2"/>
  <c r="BR25" i="2"/>
  <c r="BS25" i="2"/>
  <c r="BT25" i="2"/>
  <c r="BU25" i="2"/>
  <c r="BV25" i="2"/>
  <c r="BW25" i="2"/>
  <c r="BX25" i="2"/>
  <c r="BY25" i="2"/>
  <c r="BZ25" i="2"/>
  <c r="CA25" i="2"/>
  <c r="CB25" i="2"/>
  <c r="CC25" i="2"/>
  <c r="CD25" i="2"/>
  <c r="CE25" i="2"/>
  <c r="CF25" i="2"/>
  <c r="CG25" i="2"/>
  <c r="CH25" i="2"/>
  <c r="CI25" i="2"/>
  <c r="CJ25" i="2"/>
  <c r="CK25" i="2"/>
  <c r="CL25" i="2"/>
  <c r="CM25" i="2"/>
  <c r="CN25" i="2"/>
  <c r="CO25" i="2"/>
  <c r="CP25" i="2"/>
  <c r="CQ25" i="2"/>
  <c r="CR25" i="2"/>
  <c r="CS25" i="2"/>
  <c r="CT25" i="2"/>
  <c r="CU25" i="2"/>
  <c r="CV25" i="2"/>
  <c r="CW25" i="2"/>
  <c r="CX25" i="2"/>
  <c r="CY25" i="2"/>
  <c r="CZ25" i="2"/>
  <c r="DA25" i="2"/>
  <c r="DB25" i="2"/>
  <c r="DC25" i="2"/>
  <c r="DD25" i="2"/>
  <c r="DE25" i="2"/>
  <c r="DF25" i="2"/>
  <c r="DG25" i="2"/>
  <c r="DG59" i="2"/>
  <c r="DF59" i="2"/>
  <c r="DE60" i="2" s="1"/>
  <c r="DE59" i="2"/>
  <c r="DD59" i="2"/>
  <c r="DC59" i="2"/>
  <c r="DB59" i="2"/>
  <c r="DA59" i="2"/>
  <c r="CZ59" i="2"/>
  <c r="CY59" i="2"/>
  <c r="CX59" i="2"/>
  <c r="CW59" i="2"/>
  <c r="CV59" i="2"/>
  <c r="CU59" i="2"/>
  <c r="CT59" i="2"/>
  <c r="CS59" i="2"/>
  <c r="CR59" i="2"/>
  <c r="CQ59" i="2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O59" i="2"/>
  <c r="BP59" i="2"/>
  <c r="BQ59" i="2"/>
  <c r="BR59" i="2"/>
  <c r="BS59" i="2"/>
  <c r="BT59" i="2"/>
  <c r="BU59" i="2"/>
  <c r="BV59" i="2"/>
  <c r="BW59" i="2"/>
  <c r="AZ59" i="2"/>
  <c r="BA59" i="2"/>
  <c r="BB59" i="2"/>
  <c r="BC59" i="2"/>
  <c r="BD59" i="2"/>
  <c r="BE59" i="2"/>
  <c r="BF59" i="2"/>
  <c r="BG59" i="2"/>
  <c r="BH59" i="2"/>
  <c r="BI59" i="2"/>
  <c r="BJ59" i="2"/>
  <c r="BK59" i="2"/>
  <c r="BL59" i="2"/>
  <c r="BM59" i="2"/>
  <c r="BN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Y59" i="2"/>
  <c r="AB25" i="2"/>
  <c r="AC25" i="2"/>
  <c r="AD25" i="2"/>
  <c r="AE25" i="2"/>
  <c r="AF25" i="2"/>
  <c r="AG25" i="2"/>
  <c r="AH25" i="2"/>
  <c r="AI25" i="2"/>
  <c r="AJ25" i="2"/>
  <c r="AG46" i="2"/>
  <c r="AF46" i="2"/>
  <c r="AE46" i="2"/>
  <c r="AD46" i="2"/>
  <c r="AC46" i="2"/>
  <c r="AB46" i="2"/>
  <c r="AB59" i="2"/>
  <c r="AC59" i="2"/>
  <c r="AD59" i="2"/>
  <c r="AE59" i="2"/>
  <c r="AF59" i="2"/>
  <c r="AG59" i="2"/>
  <c r="AH59" i="2"/>
  <c r="AI59" i="2"/>
  <c r="AJ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H59" i="2"/>
  <c r="G59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I25" i="2"/>
  <c r="H25" i="2"/>
  <c r="G25" i="2"/>
  <c r="C59" i="2"/>
  <c r="F46" i="2"/>
  <c r="E46" i="2"/>
  <c r="D46" i="2"/>
  <c r="C46" i="2"/>
  <c r="E58" i="2"/>
  <c r="D58" i="2"/>
  <c r="E57" i="2"/>
  <c r="D57" i="2"/>
  <c r="E56" i="2"/>
  <c r="D56" i="2"/>
  <c r="E55" i="2"/>
  <c r="D55" i="2"/>
  <c r="E54" i="2"/>
  <c r="D54" i="2"/>
  <c r="F53" i="2"/>
  <c r="E53" i="2"/>
  <c r="D53" i="2"/>
  <c r="F52" i="2"/>
  <c r="E52" i="2"/>
  <c r="D52" i="2"/>
  <c r="F51" i="2"/>
  <c r="E51" i="2"/>
  <c r="D51" i="2"/>
  <c r="F25" i="2"/>
  <c r="E25" i="2"/>
  <c r="D25" i="2"/>
  <c r="C25" i="2"/>
  <c r="DH46" i="2" l="1"/>
  <c r="CY60" i="2"/>
  <c r="BC60" i="2"/>
  <c r="DB60" i="2"/>
  <c r="CS60" i="2"/>
  <c r="BR60" i="2"/>
  <c r="CA60" i="2"/>
  <c r="AT60" i="2"/>
  <c r="CV60" i="2"/>
  <c r="CG60" i="2"/>
  <c r="CM60" i="2"/>
  <c r="CD60" i="2"/>
  <c r="BU60" i="2"/>
  <c r="CJ60" i="2"/>
  <c r="BX60" i="2"/>
  <c r="CP60" i="2"/>
  <c r="AK60" i="2"/>
  <c r="BI60" i="2"/>
  <c r="AH60" i="2"/>
  <c r="AQ60" i="2"/>
  <c r="AW60" i="2"/>
  <c r="G60" i="2"/>
  <c r="AN60" i="2"/>
  <c r="BO60" i="2"/>
  <c r="BL60" i="2"/>
  <c r="AZ60" i="2"/>
  <c r="BF60" i="2"/>
  <c r="P60" i="2"/>
  <c r="AE60" i="2"/>
  <c r="M60" i="2"/>
  <c r="S60" i="2"/>
  <c r="Y60" i="2"/>
  <c r="V60" i="2"/>
  <c r="AB60" i="2"/>
  <c r="J60" i="2"/>
  <c r="E59" i="2"/>
  <c r="F59" i="2"/>
  <c r="D59" i="2"/>
</calcChain>
</file>

<file path=xl/sharedStrings.xml><?xml version="1.0" encoding="utf-8"?>
<sst xmlns="http://schemas.openxmlformats.org/spreadsheetml/2006/main" count="4648" uniqueCount="836">
  <si>
    <t>№ВЭУ</t>
  </si>
  <si>
    <t>кол-во свай</t>
  </si>
  <si>
    <t>КП-1</t>
  </si>
  <si>
    <t>КП-2</t>
  </si>
  <si>
    <t>КП-3</t>
  </si>
  <si>
    <t>ВЭУ-2</t>
  </si>
  <si>
    <t>ВЭУ-6</t>
  </si>
  <si>
    <t>ВЭУ-10</t>
  </si>
  <si>
    <t>ВЭУ-15</t>
  </si>
  <si>
    <t>ВЭУ-18</t>
  </si>
  <si>
    <t>ВЭУ-19</t>
  </si>
  <si>
    <t>ВЭУ-20</t>
  </si>
  <si>
    <t>ВЭУ-22</t>
  </si>
  <si>
    <t>ВЭУ-25</t>
  </si>
  <si>
    <t>ВЭУ-31</t>
  </si>
  <si>
    <t>ВЭУ-37</t>
  </si>
  <si>
    <t>ВЭУ-38</t>
  </si>
  <si>
    <t>ВЭУ-42</t>
  </si>
  <si>
    <t>ВЭУ-47</t>
  </si>
  <si>
    <t>ВЭУ-48</t>
  </si>
  <si>
    <t>ВЭУ-51</t>
  </si>
  <si>
    <t>Кол-во каркасов</t>
  </si>
  <si>
    <t>ВЭУ-4</t>
  </si>
  <si>
    <t>ВЭУ-8</t>
  </si>
  <si>
    <t>ВЭУ-12</t>
  </si>
  <si>
    <t>ВЭУ-14</t>
  </si>
  <si>
    <t>ВЭУ-16</t>
  </si>
  <si>
    <t>ОСНОВНЫЕ</t>
  </si>
  <si>
    <t>ИТОГО</t>
  </si>
  <si>
    <t>График поставки арматурных каркасов для буронабивных свай на объект МАЙСКАЯ ВЭС</t>
  </si>
  <si>
    <t>ПЛАН</t>
  </si>
  <si>
    <t>ДАТА ПОСТАВКИ</t>
  </si>
  <si>
    <t>01</t>
  </si>
  <si>
    <t>02</t>
  </si>
  <si>
    <t>03</t>
  </si>
  <si>
    <t>04</t>
  </si>
  <si>
    <t>05</t>
  </si>
  <si>
    <t>06</t>
  </si>
  <si>
    <t>07</t>
  </si>
  <si>
    <t>Итого поставка  штук в сутки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</si>
  <si>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</si>
  <si>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</si>
  <si>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</si>
  <si>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</si>
  <si>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</si>
  <si>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</si>
  <si>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</si>
  <si>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</si>
  <si>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</si>
  <si>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</si>
  <si>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</si>
  <si>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</si>
  <si>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</si>
  <si>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</si>
  <si>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</si>
  <si>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</si>
  <si>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</si>
  <si>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</si>
  <si>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</si>
  <si>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</si>
  <si>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</si>
  <si>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</si>
  <si>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</si>
  <si>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 xml:space="preserve">ИТОГО </t>
  </si>
  <si>
    <t>ИСПЫТУЕМЫЕ БНС</t>
  </si>
  <si>
    <t>АНКЕРНЫЕ БНС</t>
  </si>
  <si>
    <t>ПОСТАВЩИК: ООО "НЕФТЕБИТУМСЕРВИС - ВОЛГА"</t>
  </si>
  <si>
    <t>Дата заливки</t>
  </si>
  <si>
    <t>Итого</t>
  </si>
  <si>
    <t>м3 (проект)</t>
  </si>
  <si>
    <t>ДКБС№</t>
  </si>
  <si>
    <t>м3 (ДКБС)</t>
  </si>
  <si>
    <t>7 суток (Протокол)</t>
  </si>
  <si>
    <t>28 суток (Протокол)</t>
  </si>
  <si>
    <t>Разница (Проект-Факт)</t>
  </si>
  <si>
    <t>-</t>
  </si>
  <si>
    <t>7 суток (Протокол)
Статус</t>
  </si>
  <si>
    <t>28 суток  (Протокол)
Статус</t>
  </si>
  <si>
    <t>14 суток (Протокол)</t>
  </si>
  <si>
    <t>14 суток (Статус)</t>
  </si>
  <si>
    <t>ВЭУ-13</t>
  </si>
  <si>
    <t>ВЭУ-17</t>
  </si>
  <si>
    <t>ВЭУ-11</t>
  </si>
  <si>
    <t>ВЭУ-9</t>
  </si>
  <si>
    <t>ВЭУ-1</t>
  </si>
  <si>
    <t>ВЭУ-3</t>
  </si>
  <si>
    <t>ВЭУ-5</t>
  </si>
  <si>
    <t>ВЭУ-7</t>
  </si>
  <si>
    <t>№ сваи</t>
  </si>
  <si>
    <t>ОСНОВНЫЕ БНС</t>
  </si>
  <si>
    <t>Фото геологии</t>
  </si>
  <si>
    <t>+</t>
  </si>
  <si>
    <t>Статус ИД</t>
  </si>
  <si>
    <t xml:space="preserve"> АОСР</t>
  </si>
  <si>
    <t>Статус ИД (АОСР)</t>
  </si>
  <si>
    <t>Комплект</t>
  </si>
  <si>
    <t>Статус - Залито/Не залито</t>
  </si>
  <si>
    <t>№38/16</t>
  </si>
  <si>
    <t>№38/17</t>
  </si>
  <si>
    <t>№38/18</t>
  </si>
  <si>
    <t>№39/25</t>
  </si>
  <si>
    <t>№39/24</t>
  </si>
  <si>
    <t>№39/23</t>
  </si>
  <si>
    <t>№39/22</t>
  </si>
  <si>
    <t>№39/21</t>
  </si>
  <si>
    <t>№39/20</t>
  </si>
  <si>
    <t>№39/19</t>
  </si>
  <si>
    <t>№29/18</t>
  </si>
  <si>
    <t>№39/17</t>
  </si>
  <si>
    <t>№39/16</t>
  </si>
  <si>
    <t>№39/14</t>
  </si>
  <si>
    <t>№39/13</t>
  </si>
  <si>
    <t>№39/12</t>
  </si>
  <si>
    <t>№39/15</t>
  </si>
  <si>
    <t>№39/11</t>
  </si>
  <si>
    <t>№39/10</t>
  </si>
  <si>
    <t>№39/9</t>
  </si>
  <si>
    <t>№39/8</t>
  </si>
  <si>
    <t>№39/7</t>
  </si>
  <si>
    <t>№39/6</t>
  </si>
  <si>
    <t>№39/5</t>
  </si>
  <si>
    <t>№39/4</t>
  </si>
  <si>
    <t>№39/3</t>
  </si>
  <si>
    <t>№39/2</t>
  </si>
  <si>
    <t>№39/1</t>
  </si>
  <si>
    <t>№40/34</t>
  </si>
  <si>
    <t>№40/33</t>
  </si>
  <si>
    <t>№40/32</t>
  </si>
  <si>
    <t>№40/31</t>
  </si>
  <si>
    <t>№40/30</t>
  </si>
  <si>
    <t>№40/29</t>
  </si>
  <si>
    <t>№40/28</t>
  </si>
  <si>
    <t>№40/27</t>
  </si>
  <si>
    <t>№40/26</t>
  </si>
  <si>
    <t>№40/25</t>
  </si>
  <si>
    <t>№40/24</t>
  </si>
  <si>
    <t>№40/23</t>
  </si>
  <si>
    <t>№40/22</t>
  </si>
  <si>
    <t>№40/21</t>
  </si>
  <si>
    <t>№40/20</t>
  </si>
  <si>
    <t>№40/19</t>
  </si>
  <si>
    <t>№40/18</t>
  </si>
  <si>
    <t>№40/17</t>
  </si>
  <si>
    <t>№40/16</t>
  </si>
  <si>
    <t>№40/15</t>
  </si>
  <si>
    <t>№40/14</t>
  </si>
  <si>
    <t>№40/13</t>
  </si>
  <si>
    <t>№40/12</t>
  </si>
  <si>
    <t>№40/11</t>
  </si>
  <si>
    <t>№40/10</t>
  </si>
  <si>
    <t>№40/9</t>
  </si>
  <si>
    <t>№40/8</t>
  </si>
  <si>
    <t>№40/7</t>
  </si>
  <si>
    <t>№40/6</t>
  </si>
  <si>
    <t>№40/5</t>
  </si>
  <si>
    <t>№40/4</t>
  </si>
  <si>
    <t>№40/3</t>
  </si>
  <si>
    <t>№40/2</t>
  </si>
  <si>
    <t>№40/1</t>
  </si>
  <si>
    <t>№41/21</t>
  </si>
  <si>
    <t>№41/20</t>
  </si>
  <si>
    <t>№41/19</t>
  </si>
  <si>
    <t>№41/18</t>
  </si>
  <si>
    <t>№41/17</t>
  </si>
  <si>
    <t>№41/6</t>
  </si>
  <si>
    <t>№41/15</t>
  </si>
  <si>
    <t>№41/14</t>
  </si>
  <si>
    <t>№41/13</t>
  </si>
  <si>
    <t>№41/12</t>
  </si>
  <si>
    <t>№41/11</t>
  </si>
  <si>
    <t>№41/10</t>
  </si>
  <si>
    <t>№41/9</t>
  </si>
  <si>
    <t>№41/8</t>
  </si>
  <si>
    <t>№41/7</t>
  </si>
  <si>
    <t>№41/5</t>
  </si>
  <si>
    <t>№41/4</t>
  </si>
  <si>
    <t>№41/3</t>
  </si>
  <si>
    <t>№41/2</t>
  </si>
  <si>
    <t>№41/1</t>
  </si>
  <si>
    <t>Промежуточный акт (Бегунок)</t>
  </si>
  <si>
    <t>№42/22</t>
  </si>
  <si>
    <t>№42/21</t>
  </si>
  <si>
    <t>№42/20</t>
  </si>
  <si>
    <t>№42/19</t>
  </si>
  <si>
    <t>№42/18</t>
  </si>
  <si>
    <t>№42/17</t>
  </si>
  <si>
    <t>№42/16</t>
  </si>
  <si>
    <t>№42/15</t>
  </si>
  <si>
    <t>№42/14</t>
  </si>
  <si>
    <t>№42/13</t>
  </si>
  <si>
    <t>№42/12</t>
  </si>
  <si>
    <t>№42/11</t>
  </si>
  <si>
    <t>№42/10</t>
  </si>
  <si>
    <t>№42/9</t>
  </si>
  <si>
    <t>№42/8</t>
  </si>
  <si>
    <t>№42/7</t>
  </si>
  <si>
    <t>№42/6</t>
  </si>
  <si>
    <t>№42/5</t>
  </si>
  <si>
    <t>№42/4</t>
  </si>
  <si>
    <t>№42/3</t>
  </si>
  <si>
    <t>№42/2</t>
  </si>
  <si>
    <t>№42/1</t>
  </si>
  <si>
    <t>№43/24</t>
  </si>
  <si>
    <t>№43/23</t>
  </si>
  <si>
    <t>№43/22</t>
  </si>
  <si>
    <t>№43/21</t>
  </si>
  <si>
    <t>№43/20</t>
  </si>
  <si>
    <t>№43/19</t>
  </si>
  <si>
    <t>№43/18</t>
  </si>
  <si>
    <t>№43/17</t>
  </si>
  <si>
    <t>№43/16</t>
  </si>
  <si>
    <t>№43/15</t>
  </si>
  <si>
    <t>№43/14</t>
  </si>
  <si>
    <t>№43/13</t>
  </si>
  <si>
    <t>№43/12</t>
  </si>
  <si>
    <t>№43/11</t>
  </si>
  <si>
    <t>№43/10</t>
  </si>
  <si>
    <t>№43/9</t>
  </si>
  <si>
    <t>№43/8</t>
  </si>
  <si>
    <t>№43/7</t>
  </si>
  <si>
    <t>№43/6</t>
  </si>
  <si>
    <t>№43/5</t>
  </si>
  <si>
    <t>№43/4</t>
  </si>
  <si>
    <t>№43/3</t>
  </si>
  <si>
    <t>№43/2</t>
  </si>
  <si>
    <t>№43/1</t>
  </si>
  <si>
    <t>№44/27</t>
  </si>
  <si>
    <t>№44/19</t>
  </si>
  <si>
    <t>№44/21</t>
  </si>
  <si>
    <t>№44/29, №44/28</t>
  </si>
  <si>
    <t>№44/24</t>
  </si>
  <si>
    <t>№44/23</t>
  </si>
  <si>
    <t>№44/22</t>
  </si>
  <si>
    <t>№44/25</t>
  </si>
  <si>
    <t>№44/26</t>
  </si>
  <si>
    <t>№44/18</t>
  </si>
  <si>
    <t>№44/17</t>
  </si>
  <si>
    <t>№44/16</t>
  </si>
  <si>
    <t>№44/15</t>
  </si>
  <si>
    <t>№44/14</t>
  </si>
  <si>
    <t>№44/13</t>
  </si>
  <si>
    <t>№44/12</t>
  </si>
  <si>
    <t>№44/11</t>
  </si>
  <si>
    <t>№44/10</t>
  </si>
  <si>
    <t>№44/9</t>
  </si>
  <si>
    <t>№44/8</t>
  </si>
  <si>
    <t>№44/7</t>
  </si>
  <si>
    <t>№44/6</t>
  </si>
  <si>
    <t>№44/5</t>
  </si>
  <si>
    <t>№44/4</t>
  </si>
  <si>
    <t>№44/3</t>
  </si>
  <si>
    <t>№44/2</t>
  </si>
  <si>
    <t>№44/1</t>
  </si>
  <si>
    <t>№44/20</t>
  </si>
  <si>
    <t>№49/13</t>
  </si>
  <si>
    <t>№49/14</t>
  </si>
  <si>
    <t>№49/15</t>
  </si>
  <si>
    <t>№47/3</t>
  </si>
  <si>
    <t>№47/2</t>
  </si>
  <si>
    <t>№47/1</t>
  </si>
  <si>
    <t>№46/12</t>
  </si>
  <si>
    <t>№46/11</t>
  </si>
  <si>
    <t>№46/10</t>
  </si>
  <si>
    <t>№45/4</t>
  </si>
  <si>
    <t>№45/5</t>
  </si>
  <si>
    <t>№45/6</t>
  </si>
  <si>
    <t>№45/10</t>
  </si>
  <si>
    <t>№45/11</t>
  </si>
  <si>
    <t>№45/12</t>
  </si>
  <si>
    <t>№45/16</t>
  </si>
  <si>
    <t>№45/17</t>
  </si>
  <si>
    <t>№45/18</t>
  </si>
  <si>
    <t>№47/8</t>
  </si>
  <si>
    <t>№47/7</t>
  </si>
  <si>
    <t>№47/9</t>
  </si>
  <si>
    <t>№46/19</t>
  </si>
  <si>
    <t>№46/8</t>
  </si>
  <si>
    <t>№46/7</t>
  </si>
  <si>
    <t>№46/16</t>
  </si>
  <si>
    <t>№46/17</t>
  </si>
  <si>
    <t>№46/18</t>
  </si>
  <si>
    <t>№45/19</t>
  </si>
  <si>
    <t>№45/20</t>
  </si>
  <si>
    <t>№45/21</t>
  </si>
  <si>
    <t>45/25</t>
  </si>
  <si>
    <t>49/7</t>
  </si>
  <si>
    <t>49/8</t>
  </si>
  <si>
    <t>49/9</t>
  </si>
  <si>
    <t>49/1</t>
  </si>
  <si>
    <t>49/2</t>
  </si>
  <si>
    <t>49/3</t>
  </si>
  <si>
    <t>48/16</t>
  </si>
  <si>
    <t>48/17</t>
  </si>
  <si>
    <t>48/18</t>
  </si>
  <si>
    <t>48/8</t>
  </si>
  <si>
    <t>48/9</t>
  </si>
  <si>
    <t>48/10</t>
  </si>
  <si>
    <t>48/1</t>
  </si>
  <si>
    <t>48/2</t>
  </si>
  <si>
    <t>48/3</t>
  </si>
  <si>
    <t>47/6</t>
  </si>
  <si>
    <t>47/5</t>
  </si>
  <si>
    <t>47/4</t>
  </si>
  <si>
    <t>47/16</t>
  </si>
  <si>
    <t>47/15</t>
  </si>
  <si>
    <t>47/14</t>
  </si>
  <si>
    <t>46/6</t>
  </si>
  <si>
    <t>46/5</t>
  </si>
  <si>
    <t>46/4</t>
  </si>
  <si>
    <t>46/14</t>
  </si>
  <si>
    <t>46/13</t>
  </si>
  <si>
    <t>46/15</t>
  </si>
  <si>
    <t>45/7</t>
  </si>
  <si>
    <t>45/8</t>
  </si>
  <si>
    <t>45/9</t>
  </si>
  <si>
    <t>45/22</t>
  </si>
  <si>
    <t>45/23</t>
  </si>
  <si>
    <t>45/24</t>
  </si>
  <si>
    <t>49/6</t>
  </si>
  <si>
    <t>49/10</t>
  </si>
  <si>
    <t>49/11</t>
  </si>
  <si>
    <t>49/12</t>
  </si>
  <si>
    <t>49/4</t>
  </si>
  <si>
    <t>49/5</t>
  </si>
  <si>
    <t>48/19</t>
  </si>
  <si>
    <t>48/20</t>
  </si>
  <si>
    <t>48/21</t>
  </si>
  <si>
    <t>48/12</t>
  </si>
  <si>
    <t>48/5</t>
  </si>
  <si>
    <t>48/6</t>
  </si>
  <si>
    <t>48/7</t>
  </si>
  <si>
    <t>47/13</t>
  </si>
  <si>
    <t>47/12</t>
  </si>
  <si>
    <t>47/11</t>
  </si>
  <si>
    <t>46/3</t>
  </si>
  <si>
    <t>46/2</t>
  </si>
  <si>
    <t>46/1</t>
  </si>
  <si>
    <t>46/20</t>
  </si>
  <si>
    <t>46/21</t>
  </si>
  <si>
    <t>46/22</t>
  </si>
  <si>
    <t>45/1</t>
  </si>
  <si>
    <t>45/2</t>
  </si>
  <si>
    <t>45/3</t>
  </si>
  <si>
    <t>45/13</t>
  </si>
  <si>
    <t>45/14</t>
  </si>
  <si>
    <t>45/15</t>
  </si>
  <si>
    <t>48/13</t>
  </si>
  <si>
    <t>48/14</t>
  </si>
  <si>
    <t>48/15</t>
  </si>
  <si>
    <t>37/16</t>
  </si>
  <si>
    <t>37/17</t>
  </si>
  <si>
    <t>37/18</t>
  </si>
  <si>
    <t>36/16</t>
  </si>
  <si>
    <t>36/17</t>
  </si>
  <si>
    <t>36/18</t>
  </si>
  <si>
    <t>36/4</t>
  </si>
  <si>
    <t>36/5</t>
  </si>
  <si>
    <t>36/6</t>
  </si>
  <si>
    <t>35/7</t>
  </si>
  <si>
    <t>35/8</t>
  </si>
  <si>
    <t>35/9</t>
  </si>
  <si>
    <t>№31/10</t>
  </si>
  <si>
    <t>№31/11</t>
  </si>
  <si>
    <t>№31/12</t>
  </si>
  <si>
    <t>№30/6</t>
  </si>
  <si>
    <t>№30/7</t>
  </si>
  <si>
    <t>№30/9</t>
  </si>
  <si>
    <t>№30/10</t>
  </si>
  <si>
    <t>№30/11</t>
  </si>
  <si>
    <t>№31/1</t>
  </si>
  <si>
    <t>№31/2</t>
  </si>
  <si>
    <t>№31/3</t>
  </si>
  <si>
    <t>№30/3</t>
  </si>
  <si>
    <t>№30/1</t>
  </si>
  <si>
    <t>№29/7</t>
  </si>
  <si>
    <t>№29/8</t>
  </si>
  <si>
    <t>№29/9</t>
  </si>
  <si>
    <t>№27/7</t>
  </si>
  <si>
    <t>№27/8</t>
  </si>
  <si>
    <t>№27/9</t>
  </si>
  <si>
    <t>№27/10</t>
  </si>
  <si>
    <t>№26/9</t>
  </si>
  <si>
    <t>№26/10</t>
  </si>
  <si>
    <t>№26/11</t>
  </si>
  <si>
    <t>№30/4</t>
  </si>
  <si>
    <t>№30/5</t>
  </si>
  <si>
    <t>№30/2</t>
  </si>
  <si>
    <t>№29/10</t>
  </si>
  <si>
    <t>№29/11</t>
  </si>
  <si>
    <t>№29/12</t>
  </si>
  <si>
    <t>№29/3</t>
  </si>
  <si>
    <t>№29/4</t>
  </si>
  <si>
    <t>№29/1</t>
  </si>
  <si>
    <t>№27/4</t>
  </si>
  <si>
    <t>№27/5</t>
  </si>
  <si>
    <t>№27/6</t>
  </si>
  <si>
    <t>№26/4</t>
  </si>
  <si>
    <t>№26/5</t>
  </si>
  <si>
    <t>№25/16</t>
  </si>
  <si>
    <t>№25/17</t>
  </si>
  <si>
    <t>№25/18</t>
  </si>
  <si>
    <t>№25/6</t>
  </si>
  <si>
    <t>№25/4</t>
  </si>
  <si>
    <t>№25/3</t>
  </si>
  <si>
    <t>№37/1</t>
  </si>
  <si>
    <t>№37/22</t>
  </si>
  <si>
    <t>№37/23</t>
  </si>
  <si>
    <t>№37/24</t>
  </si>
  <si>
    <t>№37/10</t>
  </si>
  <si>
    <t>№37/11</t>
  </si>
  <si>
    <t>№37/12</t>
  </si>
  <si>
    <t>№37/2</t>
  </si>
  <si>
    <t>№37/3</t>
  </si>
  <si>
    <t>36/19</t>
  </si>
  <si>
    <t>36/20</t>
  </si>
  <si>
    <t>36/21</t>
  </si>
  <si>
    <t>36/10</t>
  </si>
  <si>
    <t>36/11</t>
  </si>
  <si>
    <t>36/12</t>
  </si>
  <si>
    <t>31/4</t>
  </si>
  <si>
    <t>№31/5</t>
  </si>
  <si>
    <t>№31/6</t>
  </si>
  <si>
    <t>№26/6</t>
  </si>
  <si>
    <t>№26/7</t>
  </si>
  <si>
    <t>№26/8</t>
  </si>
  <si>
    <t>№26/1</t>
  </si>
  <si>
    <t>№26/2</t>
  </si>
  <si>
    <t>№26/3</t>
  </si>
  <si>
    <t>25/13</t>
  </si>
  <si>
    <t>25/14</t>
  </si>
  <si>
    <t>25/15</t>
  </si>
  <si>
    <t>№25/7</t>
  </si>
  <si>
    <t>№25/8</t>
  </si>
  <si>
    <t>№25/9</t>
  </si>
  <si>
    <t>№24/5</t>
  </si>
  <si>
    <t>№24/3</t>
  </si>
  <si>
    <t>№24/2</t>
  </si>
  <si>
    <t>37/19</t>
  </si>
  <si>
    <t>37/20</t>
  </si>
  <si>
    <t>37/21</t>
  </si>
  <si>
    <t>37/13</t>
  </si>
  <si>
    <t>37/14</t>
  </si>
  <si>
    <t>37/15</t>
  </si>
  <si>
    <t>37/4</t>
  </si>
  <si>
    <t>37/5</t>
  </si>
  <si>
    <t>37/6</t>
  </si>
  <si>
    <t>36/22</t>
  </si>
  <si>
    <t>36/26</t>
  </si>
  <si>
    <t>36/24</t>
  </si>
  <si>
    <t>36/13</t>
  </si>
  <si>
    <t>36/14</t>
  </si>
  <si>
    <t>36/15</t>
  </si>
  <si>
    <t>36/1</t>
  </si>
  <si>
    <t>36/2</t>
  </si>
  <si>
    <t>36/3</t>
  </si>
  <si>
    <t>34/1</t>
  </si>
  <si>
    <t>34/2</t>
  </si>
  <si>
    <t>34/3</t>
  </si>
  <si>
    <t>35/1</t>
  </si>
  <si>
    <t>35/2</t>
  </si>
  <si>
    <t>35/3</t>
  </si>
  <si>
    <t>35/4</t>
  </si>
  <si>
    <t>35/5</t>
  </si>
  <si>
    <t>35/6</t>
  </si>
  <si>
    <t>32/1</t>
  </si>
  <si>
    <t>32/2</t>
  </si>
  <si>
    <t>32/3</t>
  </si>
  <si>
    <t>32/4</t>
  </si>
  <si>
    <t>33/1</t>
  </si>
  <si>
    <t>33/2</t>
  </si>
  <si>
    <t>33/3</t>
  </si>
  <si>
    <t>31/16</t>
  </si>
  <si>
    <t>31/17</t>
  </si>
  <si>
    <t>31/18</t>
  </si>
  <si>
    <t>31/19</t>
  </si>
  <si>
    <t>№31/7</t>
  </si>
  <si>
    <t>№31/8</t>
  </si>
  <si>
    <t>№31/19</t>
  </si>
  <si>
    <t>36/7</t>
  </si>
  <si>
    <t>36/8</t>
  </si>
  <si>
    <t>36/9</t>
  </si>
  <si>
    <t>35/10</t>
  </si>
  <si>
    <t>35/11</t>
  </si>
  <si>
    <t>35/12</t>
  </si>
  <si>
    <t>31/20</t>
  </si>
  <si>
    <t>31/21</t>
  </si>
  <si>
    <t>31/15</t>
  </si>
  <si>
    <t>31/14, 31/13</t>
  </si>
  <si>
    <t>51/21</t>
  </si>
  <si>
    <t>51/20</t>
  </si>
  <si>
    <t>51/19</t>
  </si>
  <si>
    <t>51/3</t>
  </si>
  <si>
    <t>51/2</t>
  </si>
  <si>
    <t>51/1</t>
  </si>
  <si>
    <t>50/21</t>
  </si>
  <si>
    <t>50/20</t>
  </si>
  <si>
    <t>50/19</t>
  </si>
  <si>
    <t>50/9</t>
  </si>
  <si>
    <t>50/8</t>
  </si>
  <si>
    <t>50/7</t>
  </si>
  <si>
    <t>51/24</t>
  </si>
  <si>
    <t>51/23</t>
  </si>
  <si>
    <t>51/22</t>
  </si>
  <si>
    <t>51/34</t>
  </si>
  <si>
    <t>51/35</t>
  </si>
  <si>
    <t>51/36</t>
  </si>
  <si>
    <t>51/33</t>
  </si>
  <si>
    <t>51/32</t>
  </si>
  <si>
    <t>51/31</t>
  </si>
  <si>
    <t>51/18</t>
  </si>
  <si>
    <t>51/17</t>
  </si>
  <si>
    <t>51/16</t>
  </si>
  <si>
    <t>51/12</t>
  </si>
  <si>
    <t>51/11</t>
  </si>
  <si>
    <t>51/10</t>
  </si>
  <si>
    <t>50/30</t>
  </si>
  <si>
    <t>50/29</t>
  </si>
  <si>
    <t>50/28</t>
  </si>
  <si>
    <t>50/24</t>
  </si>
  <si>
    <t>50/23</t>
  </si>
  <si>
    <t>50/22</t>
  </si>
  <si>
    <t>50/18</t>
  </si>
  <si>
    <t>50/17</t>
  </si>
  <si>
    <t>50/16</t>
  </si>
  <si>
    <t>50/12</t>
  </si>
  <si>
    <t>50/11</t>
  </si>
  <si>
    <t>50/10</t>
  </si>
  <si>
    <t>51/30</t>
  </si>
  <si>
    <t>51/29</t>
  </si>
  <si>
    <t>51/28</t>
  </si>
  <si>
    <t>51/15</t>
  </si>
  <si>
    <t>51/14</t>
  </si>
  <si>
    <t>51/13</t>
  </si>
  <si>
    <t>51/6</t>
  </si>
  <si>
    <t>51/5</t>
  </si>
  <si>
    <t>51/4</t>
  </si>
  <si>
    <t>50/27</t>
  </si>
  <si>
    <t>50/26</t>
  </si>
  <si>
    <t>50/25</t>
  </si>
  <si>
    <t>50/15</t>
  </si>
  <si>
    <t>50/14</t>
  </si>
  <si>
    <t>50/13</t>
  </si>
  <si>
    <t>50/1</t>
  </si>
  <si>
    <t>50/2</t>
  </si>
  <si>
    <t>50/3</t>
  </si>
  <si>
    <t>50/6</t>
  </si>
  <si>
    <t>50/5</t>
  </si>
  <si>
    <t>50/4</t>
  </si>
  <si>
    <t>51/27</t>
  </si>
  <si>
    <t>51/26</t>
  </si>
  <si>
    <t>51/25</t>
  </si>
  <si>
    <t>51/9</t>
  </si>
  <si>
    <t>51/8</t>
  </si>
  <si>
    <t>51/7</t>
  </si>
  <si>
    <t>55/34</t>
  </si>
  <si>
    <t>54/13</t>
  </si>
  <si>
    <t>54/15</t>
  </si>
  <si>
    <t>53/21</t>
  </si>
  <si>
    <t>53/20</t>
  </si>
  <si>
    <t>53/19</t>
  </si>
  <si>
    <t>53/6</t>
  </si>
  <si>
    <t>53/5</t>
  </si>
  <si>
    <t>53/4</t>
  </si>
  <si>
    <t>52/18</t>
  </si>
  <si>
    <t>52/17</t>
  </si>
  <si>
    <t>52/19</t>
  </si>
  <si>
    <t>52/6</t>
  </si>
  <si>
    <t>52/5</t>
  </si>
  <si>
    <t>52/4</t>
  </si>
  <si>
    <t>53/35</t>
  </si>
  <si>
    <t>53/36</t>
  </si>
  <si>
    <t>53/37</t>
  </si>
  <si>
    <t>55/20</t>
  </si>
  <si>
    <t>55/19</t>
  </si>
  <si>
    <t>55/18</t>
  </si>
  <si>
    <t>55/8</t>
  </si>
  <si>
    <t>55/7</t>
  </si>
  <si>
    <t>55/6</t>
  </si>
  <si>
    <t>55/33</t>
  </si>
  <si>
    <t>55/32</t>
  </si>
  <si>
    <t>55/31</t>
  </si>
  <si>
    <t>54/4</t>
  </si>
  <si>
    <t>54/5</t>
  </si>
  <si>
    <t>54/6</t>
  </si>
  <si>
    <t>54/23</t>
  </si>
  <si>
    <t>54/22</t>
  </si>
  <si>
    <t>54/21</t>
  </si>
  <si>
    <t>53/25</t>
  </si>
  <si>
    <t>53/23</t>
  </si>
  <si>
    <t>53/22</t>
  </si>
  <si>
    <t>53/9</t>
  </si>
  <si>
    <t>53/8</t>
  </si>
  <si>
    <t>53/7</t>
  </si>
  <si>
    <t>52/3</t>
  </si>
  <si>
    <t>52/2</t>
  </si>
  <si>
    <t>52/1</t>
  </si>
  <si>
    <t>55/17</t>
  </si>
  <si>
    <t>55/10</t>
  </si>
  <si>
    <t>55/9</t>
  </si>
  <si>
    <t>55/16</t>
  </si>
  <si>
    <t>55/15</t>
  </si>
  <si>
    <t>55/30</t>
  </si>
  <si>
    <t>55/29</t>
  </si>
  <si>
    <t>55/28</t>
  </si>
  <si>
    <t>55/37</t>
  </si>
  <si>
    <t>55/36</t>
  </si>
  <si>
    <t>55/35</t>
  </si>
  <si>
    <t>54/1</t>
  </si>
  <si>
    <t>54/2</t>
  </si>
  <si>
    <t>54/3</t>
  </si>
  <si>
    <t>54/11</t>
  </si>
  <si>
    <t>54/10</t>
  </si>
  <si>
    <t>54/12</t>
  </si>
  <si>
    <t>54/26</t>
  </si>
  <si>
    <t>54/28</t>
  </si>
  <si>
    <t>54/27</t>
  </si>
  <si>
    <t>54/31</t>
  </si>
  <si>
    <t>54/29</t>
  </si>
  <si>
    <t>54/30</t>
  </si>
  <si>
    <t>53/32</t>
  </si>
  <si>
    <t>53/33</t>
  </si>
  <si>
    <t>53/34</t>
  </si>
  <si>
    <t>53/16</t>
  </si>
  <si>
    <t>53/17</t>
  </si>
  <si>
    <t>53/18</t>
  </si>
  <si>
    <t>53/15</t>
  </si>
  <si>
    <t>53/14</t>
  </si>
  <si>
    <t>53/13</t>
  </si>
  <si>
    <t>53/3</t>
  </si>
  <si>
    <t>53/2</t>
  </si>
  <si>
    <t>53/1</t>
  </si>
  <si>
    <t>52/16</t>
  </si>
  <si>
    <t>52/15</t>
  </si>
  <si>
    <t>52/14</t>
  </si>
  <si>
    <t>52/10</t>
  </si>
  <si>
    <t>52/9</t>
  </si>
  <si>
    <t>52/8</t>
  </si>
  <si>
    <t>53/26</t>
  </si>
  <si>
    <t>53/27</t>
  </si>
  <si>
    <t>53/28</t>
  </si>
  <si>
    <t>55/3</t>
  </si>
  <si>
    <t>55/2</t>
  </si>
  <si>
    <t>55/1</t>
  </si>
  <si>
    <t>55/14</t>
  </si>
  <si>
    <t>55/13</t>
  </si>
  <si>
    <t>55/12</t>
  </si>
  <si>
    <t>55/24</t>
  </si>
  <si>
    <t>55/23</t>
  </si>
  <si>
    <t>55/22</t>
  </si>
  <si>
    <t>54/7</t>
  </si>
  <si>
    <t>54/8</t>
  </si>
  <si>
    <t>54/9</t>
  </si>
  <si>
    <t>54/20</t>
  </si>
  <si>
    <t>54/19</t>
  </si>
  <si>
    <t>54/18</t>
  </si>
  <si>
    <t>53/31</t>
  </si>
  <si>
    <t>53/30</t>
  </si>
  <si>
    <t>53/29</t>
  </si>
  <si>
    <t>53/12</t>
  </si>
  <si>
    <t>53/11</t>
  </si>
  <si>
    <t>53/10</t>
  </si>
  <si>
    <t>52/13</t>
  </si>
  <si>
    <t>52/12</t>
  </si>
  <si>
    <t>52/11</t>
  </si>
  <si>
    <t>№24/1№24/4</t>
  </si>
  <si>
    <t>57/29</t>
  </si>
  <si>
    <t>57/28</t>
  </si>
  <si>
    <t>57/27</t>
  </si>
  <si>
    <t>56/13</t>
  </si>
  <si>
    <t>56/14</t>
  </si>
  <si>
    <t>56/15</t>
  </si>
  <si>
    <t>58/24</t>
  </si>
  <si>
    <t>58/23</t>
  </si>
  <si>
    <t>58/22</t>
  </si>
  <si>
    <t>56/25</t>
  </si>
  <si>
    <t>56/26</t>
  </si>
  <si>
    <t>56/27</t>
  </si>
  <si>
    <t>57/6</t>
  </si>
  <si>
    <t>57/5</t>
  </si>
  <si>
    <t>57/4</t>
  </si>
  <si>
    <t>58/3</t>
  </si>
  <si>
    <t>58/2</t>
  </si>
  <si>
    <t>58/1</t>
  </si>
  <si>
    <t>57/21</t>
  </si>
  <si>
    <t>57/19</t>
  </si>
  <si>
    <t>57/18</t>
  </si>
  <si>
    <t>56/1</t>
  </si>
  <si>
    <t>56/2</t>
  </si>
  <si>
    <t>56/3</t>
  </si>
  <si>
    <t>38/9</t>
  </si>
  <si>
    <t>38/8</t>
  </si>
  <si>
    <t>38/7</t>
  </si>
  <si>
    <t>38/12</t>
  </si>
  <si>
    <t>38/11</t>
  </si>
  <si>
    <t>38/10</t>
  </si>
  <si>
    <t>38/15</t>
  </si>
  <si>
    <t>38/14</t>
  </si>
  <si>
    <t>38/13</t>
  </si>
  <si>
    <t>38/3</t>
  </si>
  <si>
    <t>38/2</t>
  </si>
  <si>
    <t>38/1</t>
  </si>
  <si>
    <t>57/8</t>
  </si>
  <si>
    <t>57/7</t>
  </si>
  <si>
    <t>57/16</t>
  </si>
  <si>
    <t>58/36</t>
  </si>
  <si>
    <t>58/35</t>
  </si>
  <si>
    <t>58/34</t>
  </si>
  <si>
    <t>37/9</t>
  </si>
  <si>
    <t>37/8</t>
  </si>
  <si>
    <t>37/7</t>
  </si>
  <si>
    <t>56/16</t>
  </si>
  <si>
    <t>56/17</t>
  </si>
  <si>
    <t>56/18</t>
  </si>
  <si>
    <t>57/15</t>
  </si>
  <si>
    <t>57/14</t>
  </si>
  <si>
    <t>57/13</t>
  </si>
  <si>
    <t>49/18</t>
  </si>
  <si>
    <t>49/17</t>
  </si>
  <si>
    <t>49/16</t>
  </si>
  <si>
    <t>38/6</t>
  </si>
  <si>
    <t>38/5</t>
  </si>
  <si>
    <t>38/4</t>
  </si>
  <si>
    <t>57/9</t>
  </si>
  <si>
    <t>58/15</t>
  </si>
  <si>
    <t>58/14</t>
  </si>
  <si>
    <t>58/13</t>
  </si>
  <si>
    <t>56/28</t>
  </si>
  <si>
    <t>56/29</t>
  </si>
  <si>
    <t>56/30</t>
  </si>
  <si>
    <t>58/27</t>
  </si>
  <si>
    <t>58/26</t>
  </si>
  <si>
    <t>58/25</t>
  </si>
  <si>
    <t>57/37</t>
  </si>
  <si>
    <t>57/36</t>
  </si>
  <si>
    <t>57/35</t>
  </si>
  <si>
    <t>57/26</t>
  </si>
  <si>
    <t>57/25</t>
  </si>
  <si>
    <t>57/24</t>
  </si>
  <si>
    <t>57/12</t>
  </si>
  <si>
    <t>57/11</t>
  </si>
  <si>
    <t>57/10</t>
  </si>
  <si>
    <t>56/10</t>
  </si>
  <si>
    <t>56/11</t>
  </si>
  <si>
    <t>56/12</t>
  </si>
  <si>
    <t>58/30</t>
  </si>
  <si>
    <t>58/29</t>
  </si>
  <si>
    <t>58/28</t>
  </si>
  <si>
    <t>58/18</t>
  </si>
  <si>
    <t>58/17</t>
  </si>
  <si>
    <t>58/16</t>
  </si>
  <si>
    <t>58/6</t>
  </si>
  <si>
    <t>58/5</t>
  </si>
  <si>
    <t>58/4</t>
  </si>
  <si>
    <t>56/4</t>
  </si>
  <si>
    <t>56/5</t>
  </si>
  <si>
    <t>56/6</t>
  </si>
  <si>
    <t>56/22</t>
  </si>
  <si>
    <t>56/23</t>
  </si>
  <si>
    <t>56/24</t>
  </si>
  <si>
    <t>57/3</t>
  </si>
  <si>
    <t>57/2</t>
  </si>
  <si>
    <t>57/1</t>
  </si>
  <si>
    <t>57/20</t>
  </si>
  <si>
    <t>57/23</t>
  </si>
  <si>
    <t>57/22</t>
  </si>
  <si>
    <t>57/32</t>
  </si>
  <si>
    <t>57/31</t>
  </si>
  <si>
    <t>57/30</t>
  </si>
  <si>
    <t>57/40</t>
  </si>
  <si>
    <t>57/39</t>
  </si>
  <si>
    <t>57/38</t>
  </si>
  <si>
    <t>54/14</t>
  </si>
  <si>
    <t>58/21</t>
  </si>
  <si>
    <t>58/20</t>
  </si>
  <si>
    <t>58/19</t>
  </si>
  <si>
    <t>56/19</t>
  </si>
  <si>
    <t>56/20</t>
  </si>
  <si>
    <t>56/21</t>
  </si>
  <si>
    <t>56/7</t>
  </si>
  <si>
    <t>56/8</t>
  </si>
  <si>
    <t>56/9</t>
  </si>
  <si>
    <t>58/9</t>
  </si>
  <si>
    <t>58/8</t>
  </si>
  <si>
    <t>58/7</t>
  </si>
  <si>
    <t>58/12</t>
  </si>
  <si>
    <t>58/11</t>
  </si>
  <si>
    <t>58/10</t>
  </si>
  <si>
    <t>58/33</t>
  </si>
  <si>
    <t>58/32</t>
  </si>
  <si>
    <t>58/31</t>
  </si>
  <si>
    <t>59/44</t>
  </si>
  <si>
    <t>59/10</t>
  </si>
  <si>
    <t>59/11</t>
  </si>
  <si>
    <t>59/12</t>
  </si>
  <si>
    <t>59/16</t>
  </si>
  <si>
    <t>59/17</t>
  </si>
  <si>
    <t>59/18</t>
  </si>
  <si>
    <t>59/1</t>
  </si>
  <si>
    <t>59/2</t>
  </si>
  <si>
    <t>59/3</t>
  </si>
  <si>
    <t>59/38</t>
  </si>
  <si>
    <t>59/39</t>
  </si>
  <si>
    <t>59/40</t>
  </si>
  <si>
    <t>59/7</t>
  </si>
  <si>
    <t>59/8</t>
  </si>
  <si>
    <t>59/9</t>
  </si>
  <si>
    <t>59/22</t>
  </si>
  <si>
    <t>59/23</t>
  </si>
  <si>
    <t>59/24</t>
  </si>
  <si>
    <t>59/35</t>
  </si>
  <si>
    <t>59/36</t>
  </si>
  <si>
    <t>59/37</t>
  </si>
  <si>
    <t>59/25</t>
  </si>
  <si>
    <t>59/26</t>
  </si>
  <si>
    <t>59/27</t>
  </si>
  <si>
    <t>59/14</t>
  </si>
  <si>
    <t>59/13</t>
  </si>
  <si>
    <t>59/15</t>
  </si>
  <si>
    <t>59/41</t>
  </si>
  <si>
    <t>59/42</t>
  </si>
  <si>
    <t>59/43</t>
  </si>
  <si>
    <t>59/4</t>
  </si>
  <si>
    <t>59/5</t>
  </si>
  <si>
    <t>59/6</t>
  </si>
  <si>
    <t>59/19</t>
  </si>
  <si>
    <t>59/20</t>
  </si>
  <si>
    <t>59/21</t>
  </si>
  <si>
    <t>59/28</t>
  </si>
  <si>
    <t>59/29</t>
  </si>
  <si>
    <t>59/30</t>
  </si>
  <si>
    <t>№28/1</t>
  </si>
  <si>
    <t>№28/2</t>
  </si>
  <si>
    <t>№28/3</t>
  </si>
  <si>
    <t>№29/2</t>
  </si>
  <si>
    <t>№29/6</t>
  </si>
  <si>
    <t>№29/5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</si>
</sst>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8"/>
      <name val="Calibri"/>
      <family val="2"/>
      <scheme val="minor"/>
    </font>
    <font>
      <b/>
      <sz val="11"/>
      <color rgb="FFC00000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B2F4BD"/>
        <bgColor indexed="64"/>
      </patternFill>
    </fill>
    <fill>
      <patternFill patternType="solid">
        <fgColor rgb="FFE0CFC6"/>
        <bgColor indexed="64"/>
      </patternFill>
    </fill>
    <fill>
      <patternFill patternType="solid">
        <fgColor rgb="FFA8BAFE"/>
        <bgColor indexed="64"/>
      </patternFill>
    </fill>
    <fill>
      <patternFill patternType="solid">
        <fgColor rgb="FFACFAE6"/>
        <bgColor indexed="64"/>
      </patternFill>
    </fill>
    <fill>
      <patternFill patternType="solid">
        <fgColor rgb="FFFC7E74"/>
        <bgColor indexed="64"/>
      </patternFill>
    </fill>
    <fill>
      <patternFill patternType="solid">
        <fgColor rgb="FFFFC0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rgb="FF00B050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rgb="FF00B050"/>
      </right>
      <top style="thin">
        <color indexed="64"/>
      </top>
      <bottom style="double">
        <color indexed="64"/>
      </bottom>
      <diagonal/>
    </border>
    <border>
      <left style="thick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B050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rgb="FF00B050"/>
      </right>
      <top style="thin">
        <color indexed="64"/>
      </top>
      <bottom style="thin">
        <color indexed="64"/>
      </bottom>
      <diagonal/>
    </border>
    <border>
      <left style="thick">
        <color rgb="FF00B050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rgb="FF00B050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rgb="FF00B05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0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15" xfId="0" applyFont="1" applyBorder="1"/>
    <xf numFmtId="0" fontId="2" fillId="0" borderId="17" xfId="0" applyFont="1" applyBorder="1"/>
    <xf numFmtId="0" fontId="2" fillId="0" borderId="8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 textRotation="90"/>
    </xf>
    <xf numFmtId="0" fontId="2" fillId="0" borderId="14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15" xfId="0" applyFont="1" applyBorder="1" applyAlignment="1">
      <alignment horizontal="center" vertical="center" textRotation="90" wrapText="1"/>
    </xf>
    <xf numFmtId="0" fontId="3" fillId="0" borderId="21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 textRotation="90"/>
    </xf>
    <xf numFmtId="0" fontId="2" fillId="0" borderId="28" xfId="0" applyFont="1" applyBorder="1" applyAlignment="1">
      <alignment horizontal="center" vertical="center" textRotation="90"/>
    </xf>
    <xf numFmtId="0" fontId="2" fillId="0" borderId="32" xfId="0" applyFont="1" applyBorder="1" applyAlignment="1">
      <alignment horizontal="center" vertical="center" textRotation="90"/>
    </xf>
    <xf numFmtId="0" fontId="2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6" borderId="3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0" fontId="2" fillId="6" borderId="33" xfId="0" applyFont="1" applyFill="1" applyBorder="1" applyAlignment="1">
      <alignment horizontal="center" vertical="center"/>
    </xf>
    <xf numFmtId="0" fontId="2" fillId="6" borderId="30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2" fillId="7" borderId="3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28" xfId="0" applyFont="1" applyFill="1" applyBorder="1" applyAlignment="1">
      <alignment horizontal="center" vertical="center"/>
    </xf>
    <xf numFmtId="0" fontId="2" fillId="7" borderId="33" xfId="0" applyFont="1" applyFill="1" applyBorder="1" applyAlignment="1">
      <alignment horizontal="center" vertical="center"/>
    </xf>
    <xf numFmtId="0" fontId="2" fillId="7" borderId="30" xfId="0" applyFont="1" applyFill="1" applyBorder="1" applyAlignment="1">
      <alignment horizontal="center" vertical="center"/>
    </xf>
    <xf numFmtId="0" fontId="2" fillId="7" borderId="31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34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2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textRotation="90"/>
    </xf>
    <xf numFmtId="0" fontId="2" fillId="6" borderId="11" xfId="0" applyFont="1" applyFill="1" applyBorder="1" applyAlignment="1">
      <alignment horizontal="center" vertical="center"/>
    </xf>
    <xf numFmtId="0" fontId="2" fillId="6" borderId="37" xfId="0" applyFont="1" applyFill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/>
    </xf>
    <xf numFmtId="0" fontId="2" fillId="7" borderId="37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14" fontId="0" fillId="12" borderId="1" xfId="0" applyNumberForma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14" fontId="0" fillId="0" borderId="0" xfId="0" applyNumberForma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10" borderId="3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14" fontId="0" fillId="29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" fontId="0" fillId="5" borderId="1" xfId="0" applyNumberFormat="1" applyFill="1" applyBorder="1" applyAlignment="1">
      <alignment horizontal="center" vertical="center"/>
    </xf>
    <xf numFmtId="16" fontId="1" fillId="5" borderId="1" xfId="0" applyNumberFormat="1" applyFont="1" applyFill="1" applyBorder="1" applyAlignment="1">
      <alignment horizontal="center" vertical="center"/>
    </xf>
    <xf numFmtId="1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8" fillId="5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17" fontId="3" fillId="5" borderId="8" xfId="0" applyNumberFormat="1" applyFont="1" applyFill="1" applyBorder="1" applyAlignment="1">
      <alignment horizontal="center"/>
    </xf>
    <xf numFmtId="17" fontId="3" fillId="5" borderId="1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49" fontId="3" fillId="4" borderId="11" xfId="0" applyNumberFormat="1" applyFont="1" applyFill="1" applyBorder="1" applyAlignment="1">
      <alignment horizontal="center" vertical="center"/>
    </xf>
    <xf numFmtId="17" fontId="3" fillId="5" borderId="20" xfId="0" applyNumberFormat="1" applyFont="1" applyFill="1" applyBorder="1" applyAlignment="1">
      <alignment horizontal="center"/>
    </xf>
    <xf numFmtId="17" fontId="3" fillId="5" borderId="7" xfId="0" applyNumberFormat="1" applyFont="1" applyFill="1" applyBorder="1" applyAlignment="1">
      <alignment horizontal="center"/>
    </xf>
    <xf numFmtId="17" fontId="2" fillId="5" borderId="7" xfId="0" applyNumberFormat="1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17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 wrapText="1"/>
    </xf>
    <xf numFmtId="0" fontId="0" fillId="10" borderId="9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 wrapText="1"/>
    </xf>
    <xf numFmtId="0" fontId="0" fillId="11" borderId="9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C7E74"/>
      <color rgb="FFACFAE6"/>
      <color rgb="FFA8BAFE"/>
      <color rgb="FFE0CFC6"/>
      <color rgb="FFB2F4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7A9C9-D35B-4FDD-AB56-AC93ADEBCED7}">
  <dimension ref="B2:DH61"/>
  <sheetViews>
    <sheetView zoomScale="70" zoomScaleNormal="70" workbookViewId="0">
      <selection activeCell="B3" sqref="B3:DH3"/>
    </sheetView>
  </sheetViews>
  <sheetFormatPr defaultRowHeight="15" x14ac:dyDescent="0.25"/>
  <cols>
    <col min="1" max="2" width="9.140625" style="1"/>
    <col min="3" max="3" width="9.85546875" style="1" customWidth="1"/>
    <col min="4" max="4" width="5" style="1" customWidth="1"/>
    <col min="5" max="5" width="4.140625" style="1" customWidth="1"/>
    <col min="6" max="6" width="4" style="1" customWidth="1"/>
    <col min="7" max="92" width="2.5703125" style="1" customWidth="1"/>
    <col min="93" max="111" width="2.42578125" style="1" customWidth="1"/>
    <col min="112" max="112" width="10" style="1" customWidth="1"/>
    <col min="113" max="16384" width="9.140625" style="1"/>
  </cols>
  <sheetData>
    <row r="2" spans="2:112" ht="28.5" customHeight="1" x14ac:dyDescent="0.25">
      <c r="B2" s="160" t="s">
        <v>29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0"/>
      <c r="AP2" s="160"/>
      <c r="AQ2" s="160"/>
      <c r="AR2" s="160"/>
      <c r="AS2" s="160"/>
      <c r="AT2" s="160"/>
      <c r="AU2" s="160"/>
      <c r="AV2" s="160"/>
      <c r="AW2" s="160"/>
      <c r="AX2" s="160"/>
      <c r="AY2" s="160"/>
      <c r="AZ2" s="160"/>
      <c r="BA2" s="160"/>
      <c r="BB2" s="160"/>
      <c r="BC2" s="160"/>
      <c r="BD2" s="160"/>
      <c r="BE2" s="160"/>
      <c r="BF2" s="160"/>
      <c r="BG2" s="160"/>
      <c r="BH2" s="160"/>
      <c r="BI2" s="160"/>
      <c r="BJ2" s="160"/>
      <c r="BK2" s="160"/>
      <c r="BL2" s="160"/>
      <c r="BM2" s="160"/>
      <c r="BN2" s="160"/>
      <c r="BO2" s="160"/>
      <c r="BP2" s="160"/>
      <c r="BQ2" s="160"/>
      <c r="BR2" s="160"/>
      <c r="BS2" s="160"/>
      <c r="BT2" s="160"/>
      <c r="BU2" s="160"/>
      <c r="BV2" s="160"/>
      <c r="BW2" s="160"/>
      <c r="BX2" s="160"/>
      <c r="BY2" s="160"/>
      <c r="BZ2" s="160"/>
      <c r="CA2" s="160"/>
      <c r="CB2" s="160"/>
      <c r="CC2" s="160"/>
      <c r="CD2" s="160"/>
      <c r="CE2" s="160"/>
      <c r="CF2" s="160"/>
      <c r="CG2" s="160"/>
      <c r="CH2" s="160"/>
      <c r="CI2" s="160"/>
      <c r="CJ2" s="160"/>
      <c r="CK2" s="160"/>
      <c r="CL2" s="160"/>
      <c r="CM2" s="160"/>
      <c r="CN2" s="160"/>
      <c r="CO2" s="160"/>
      <c r="CP2" s="160"/>
      <c r="CQ2" s="160"/>
      <c r="CR2" s="160"/>
      <c r="CS2" s="160"/>
      <c r="CT2" s="160"/>
      <c r="CU2" s="160"/>
      <c r="CV2" s="160"/>
      <c r="CW2" s="160"/>
      <c r="CX2" s="160"/>
      <c r="CY2" s="160"/>
      <c r="CZ2" s="160"/>
      <c r="DA2" s="160"/>
      <c r="DB2" s="160"/>
      <c r="DC2" s="160"/>
      <c r="DD2" s="160"/>
      <c r="DE2" s="160"/>
      <c r="DF2" s="160"/>
      <c r="DG2" s="160"/>
      <c r="DH2" s="160"/>
    </row>
    <row r="3" spans="2:112" ht="20.25" x14ac:dyDescent="0.25">
      <c r="B3" s="160" t="s">
        <v>66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  <c r="AX3" s="160"/>
      <c r="AY3" s="160"/>
      <c r="AZ3" s="160"/>
      <c r="BA3" s="160"/>
      <c r="BB3" s="160"/>
      <c r="BC3" s="160"/>
      <c r="BD3" s="160"/>
      <c r="BE3" s="160"/>
      <c r="BF3" s="160"/>
      <c r="BG3" s="160"/>
      <c r="BH3" s="160"/>
      <c r="BI3" s="160"/>
      <c r="BJ3" s="160"/>
      <c r="BK3" s="160"/>
      <c r="BL3" s="160"/>
      <c r="BM3" s="160"/>
      <c r="BN3" s="160"/>
      <c r="BO3" s="160"/>
      <c r="BP3" s="160"/>
      <c r="BQ3" s="160"/>
      <c r="BR3" s="160"/>
      <c r="BS3" s="160"/>
      <c r="BT3" s="160"/>
      <c r="BU3" s="160"/>
      <c r="BV3" s="160"/>
      <c r="BW3" s="160"/>
      <c r="BX3" s="160"/>
      <c r="BY3" s="160"/>
      <c r="BZ3" s="160"/>
      <c r="CA3" s="160"/>
      <c r="CB3" s="160"/>
      <c r="CC3" s="160"/>
      <c r="CD3" s="160"/>
      <c r="CE3" s="160"/>
      <c r="CF3" s="160"/>
      <c r="CG3" s="160"/>
      <c r="CH3" s="160"/>
      <c r="CI3" s="160"/>
      <c r="CJ3" s="160"/>
      <c r="CK3" s="160"/>
      <c r="CL3" s="160"/>
      <c r="CM3" s="160"/>
      <c r="CN3" s="160"/>
      <c r="CO3" s="160"/>
      <c r="CP3" s="160"/>
      <c r="CQ3" s="160"/>
      <c r="CR3" s="160"/>
      <c r="CS3" s="160"/>
      <c r="CT3" s="160"/>
      <c r="CU3" s="160"/>
      <c r="CV3" s="160"/>
      <c r="CW3" s="160"/>
      <c r="CX3" s="160"/>
      <c r="CY3" s="160"/>
      <c r="CZ3" s="160"/>
      <c r="DA3" s="160"/>
      <c r="DB3" s="160"/>
      <c r="DC3" s="160"/>
      <c r="DD3" s="160"/>
      <c r="DE3" s="160"/>
      <c r="DF3" s="160"/>
      <c r="DG3" s="160"/>
      <c r="DH3" s="160"/>
    </row>
    <row r="5" spans="2:112" x14ac:dyDescent="0.25">
      <c r="B5" s="128" t="s">
        <v>64</v>
      </c>
      <c r="C5" s="129"/>
      <c r="D5" s="121" t="s">
        <v>30</v>
      </c>
      <c r="E5" s="122"/>
      <c r="F5" s="123"/>
      <c r="G5" s="146" t="s">
        <v>31</v>
      </c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7"/>
      <c r="BF5" s="147"/>
      <c r="BG5" s="147"/>
      <c r="BH5" s="147"/>
      <c r="BI5" s="147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  <c r="BW5" s="147"/>
      <c r="BX5" s="147"/>
      <c r="BY5" s="147"/>
      <c r="BZ5" s="147"/>
      <c r="CA5" s="147"/>
      <c r="CB5" s="147"/>
      <c r="CC5" s="147"/>
      <c r="CD5" s="147"/>
      <c r="CE5" s="147"/>
      <c r="CF5" s="147"/>
      <c r="CG5" s="147"/>
      <c r="CH5" s="147"/>
      <c r="CI5" s="147"/>
      <c r="CJ5" s="147"/>
      <c r="CK5" s="147"/>
      <c r="CL5" s="147"/>
      <c r="CM5" s="147"/>
      <c r="CN5" s="147"/>
      <c r="CO5" s="147"/>
      <c r="CP5" s="147"/>
      <c r="CQ5" s="147"/>
      <c r="CR5" s="147"/>
      <c r="CS5" s="147"/>
      <c r="CT5" s="147"/>
      <c r="CU5" s="147"/>
      <c r="CV5" s="147"/>
      <c r="CW5" s="147"/>
      <c r="CX5" s="147"/>
      <c r="CY5" s="147"/>
      <c r="CZ5" s="147"/>
      <c r="DA5" s="147"/>
      <c r="DB5" s="147"/>
      <c r="DC5" s="147"/>
      <c r="DD5" s="147"/>
      <c r="DE5" s="147"/>
      <c r="DF5" s="147"/>
      <c r="DG5" s="148"/>
      <c r="DH5" s="157" t="s">
        <v>63</v>
      </c>
    </row>
    <row r="6" spans="2:112" x14ac:dyDescent="0.25">
      <c r="B6" s="128"/>
      <c r="C6" s="129"/>
      <c r="D6" s="124"/>
      <c r="E6" s="125"/>
      <c r="F6" s="126"/>
      <c r="G6" s="139">
        <v>46174</v>
      </c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/>
      <c r="AY6" s="140"/>
      <c r="AZ6" s="140"/>
      <c r="BA6" s="140"/>
      <c r="BB6" s="140"/>
      <c r="BC6" s="140"/>
      <c r="BD6" s="140"/>
      <c r="BE6" s="140"/>
      <c r="BF6" s="140"/>
      <c r="BG6" s="140"/>
      <c r="BH6" s="140"/>
      <c r="BI6" s="140"/>
      <c r="BJ6" s="140"/>
      <c r="BK6" s="140"/>
      <c r="BL6" s="140"/>
      <c r="BM6" s="140"/>
      <c r="BN6" s="140"/>
      <c r="BO6" s="140"/>
      <c r="BP6" s="140"/>
      <c r="BQ6" s="140"/>
      <c r="BR6" s="140"/>
      <c r="BS6" s="140"/>
      <c r="BT6" s="140"/>
      <c r="BU6" s="140"/>
      <c r="BV6" s="140"/>
      <c r="BW6" s="140"/>
      <c r="BX6" s="140"/>
      <c r="BY6" s="140"/>
      <c r="BZ6" s="140"/>
      <c r="CA6" s="140"/>
      <c r="CB6" s="140"/>
      <c r="CC6" s="140"/>
      <c r="CD6" s="140"/>
      <c r="CE6" s="140"/>
      <c r="CF6" s="140"/>
      <c r="CG6" s="140"/>
      <c r="CH6" s="140"/>
      <c r="CI6" s="140"/>
      <c r="CJ6" s="140"/>
      <c r="CK6" s="140"/>
      <c r="CL6" s="140"/>
      <c r="CM6" s="140"/>
      <c r="CN6" s="140"/>
      <c r="CO6" s="140"/>
      <c r="CP6" s="140"/>
      <c r="CQ6" s="140"/>
      <c r="CR6" s="140"/>
      <c r="CS6" s="154">
        <v>46204</v>
      </c>
      <c r="CT6" s="155"/>
      <c r="CU6" s="155"/>
      <c r="CV6" s="155"/>
      <c r="CW6" s="155"/>
      <c r="CX6" s="155"/>
      <c r="CY6" s="155"/>
      <c r="CZ6" s="155"/>
      <c r="DA6" s="155"/>
      <c r="DB6" s="155"/>
      <c r="DC6" s="155"/>
      <c r="DD6" s="155"/>
      <c r="DE6" s="155"/>
      <c r="DF6" s="155"/>
      <c r="DG6" s="156"/>
      <c r="DH6" s="158"/>
    </row>
    <row r="7" spans="2:112" ht="43.5" customHeight="1" x14ac:dyDescent="0.25">
      <c r="B7" s="128"/>
      <c r="C7" s="129"/>
      <c r="D7" s="136" t="s">
        <v>21</v>
      </c>
      <c r="E7" s="137"/>
      <c r="F7" s="138"/>
      <c r="G7" s="127" t="s">
        <v>32</v>
      </c>
      <c r="H7" s="120"/>
      <c r="I7" s="120"/>
      <c r="J7" s="120" t="s">
        <v>33</v>
      </c>
      <c r="K7" s="120"/>
      <c r="L7" s="120"/>
      <c r="M7" s="120" t="s">
        <v>34</v>
      </c>
      <c r="N7" s="120"/>
      <c r="O7" s="120"/>
      <c r="P7" s="120" t="s">
        <v>35</v>
      </c>
      <c r="Q7" s="120"/>
      <c r="R7" s="120"/>
      <c r="S7" s="120" t="s">
        <v>36</v>
      </c>
      <c r="T7" s="120"/>
      <c r="U7" s="120"/>
      <c r="V7" s="120" t="s">
        <v>37</v>
      </c>
      <c r="W7" s="120"/>
      <c r="X7" s="120"/>
      <c r="Y7" s="120" t="s">
        <v>38</v>
      </c>
      <c r="Z7" s="120"/>
      <c r="AA7" s="120"/>
      <c r="AB7" s="120" t="s">
        <v>40</v>
      </c>
      <c r="AC7" s="120"/>
      <c r="AD7" s="120"/>
      <c r="AE7" s="120" t="s">
        <v>41</v>
      </c>
      <c r="AF7" s="120"/>
      <c r="AG7" s="120"/>
      <c r="AH7" s="120" t="s">
        <v>42</v>
      </c>
      <c r="AI7" s="120"/>
      <c r="AJ7" s="120"/>
      <c r="AK7" s="120" t="s">
        <v>43</v>
      </c>
      <c r="AL7" s="120"/>
      <c r="AM7" s="120"/>
      <c r="AN7" s="120" t="s">
        <v>44</v>
      </c>
      <c r="AO7" s="120"/>
      <c r="AP7" s="120"/>
      <c r="AQ7" s="120" t="s">
        <v>45</v>
      </c>
      <c r="AR7" s="120"/>
      <c r="AS7" s="120"/>
      <c r="AT7" s="120" t="s">
        <v>46</v>
      </c>
      <c r="AU7" s="120"/>
      <c r="AV7" s="120"/>
      <c r="AW7" s="120" t="s">
        <v>47</v>
      </c>
      <c r="AX7" s="120"/>
      <c r="AY7" s="120"/>
      <c r="AZ7" s="120" t="s">
        <v>48</v>
      </c>
      <c r="BA7" s="120"/>
      <c r="BB7" s="120"/>
      <c r="BC7" s="120" t="s">
        <v>49</v>
      </c>
      <c r="BD7" s="120"/>
      <c r="BE7" s="120"/>
      <c r="BF7" s="120" t="s">
        <v>50</v>
      </c>
      <c r="BG7" s="120"/>
      <c r="BH7" s="120"/>
      <c r="BI7" s="120" t="s">
        <v>51</v>
      </c>
      <c r="BJ7" s="120"/>
      <c r="BK7" s="120"/>
      <c r="BL7" s="120" t="s">
        <v>52</v>
      </c>
      <c r="BM7" s="120"/>
      <c r="BN7" s="120"/>
      <c r="BO7" s="120" t="s">
        <v>53</v>
      </c>
      <c r="BP7" s="120"/>
      <c r="BQ7" s="120"/>
      <c r="BR7" s="120" t="s">
        <v>54</v>
      </c>
      <c r="BS7" s="120"/>
      <c r="BT7" s="120"/>
      <c r="BU7" s="120" t="s">
        <v>55</v>
      </c>
      <c r="BV7" s="120"/>
      <c r="BW7" s="120"/>
      <c r="BX7" s="120" t="s">
        <v>56</v>
      </c>
      <c r="BY7" s="120"/>
      <c r="BZ7" s="120"/>
      <c r="CA7" s="120" t="s">
        <v>57</v>
      </c>
      <c r="CB7" s="120"/>
      <c r="CC7" s="120"/>
      <c r="CD7" s="120" t="s">
        <v>58</v>
      </c>
      <c r="CE7" s="120"/>
      <c r="CF7" s="120"/>
      <c r="CG7" s="120" t="s">
        <v>59</v>
      </c>
      <c r="CH7" s="120"/>
      <c r="CI7" s="120"/>
      <c r="CJ7" s="120" t="s">
        <v>60</v>
      </c>
      <c r="CK7" s="120"/>
      <c r="CL7" s="120"/>
      <c r="CM7" s="120" t="s">
        <v>61</v>
      </c>
      <c r="CN7" s="120"/>
      <c r="CO7" s="120"/>
      <c r="CP7" s="120" t="s">
        <v>62</v>
      </c>
      <c r="CQ7" s="120"/>
      <c r="CR7" s="120"/>
      <c r="CS7" s="120" t="s">
        <v>32</v>
      </c>
      <c r="CT7" s="120"/>
      <c r="CU7" s="120"/>
      <c r="CV7" s="120" t="s">
        <v>33</v>
      </c>
      <c r="CW7" s="120"/>
      <c r="CX7" s="120"/>
      <c r="CY7" s="120" t="s">
        <v>34</v>
      </c>
      <c r="CZ7" s="120"/>
      <c r="DA7" s="120"/>
      <c r="DB7" s="120" t="s">
        <v>35</v>
      </c>
      <c r="DC7" s="120"/>
      <c r="DD7" s="120"/>
      <c r="DE7" s="120" t="s">
        <v>36</v>
      </c>
      <c r="DF7" s="120"/>
      <c r="DG7" s="149"/>
      <c r="DH7" s="159"/>
    </row>
    <row r="8" spans="2:112" ht="38.25" customHeight="1" x14ac:dyDescent="0.25">
      <c r="B8" s="2" t="s">
        <v>0</v>
      </c>
      <c r="C8" s="10" t="s">
        <v>1</v>
      </c>
      <c r="D8" s="26" t="s">
        <v>2</v>
      </c>
      <c r="E8" s="27" t="s">
        <v>3</v>
      </c>
      <c r="F8" s="28" t="s">
        <v>4</v>
      </c>
      <c r="G8" s="24" t="s">
        <v>2</v>
      </c>
      <c r="H8" s="25" t="s">
        <v>3</v>
      </c>
      <c r="I8" s="31" t="s">
        <v>4</v>
      </c>
      <c r="J8" s="32" t="s">
        <v>2</v>
      </c>
      <c r="K8" s="25" t="s">
        <v>3</v>
      </c>
      <c r="L8" s="31" t="s">
        <v>4</v>
      </c>
      <c r="M8" s="32" t="s">
        <v>2</v>
      </c>
      <c r="N8" s="25" t="s">
        <v>3</v>
      </c>
      <c r="O8" s="31" t="s">
        <v>4</v>
      </c>
      <c r="P8" s="32" t="s">
        <v>2</v>
      </c>
      <c r="Q8" s="25" t="s">
        <v>3</v>
      </c>
      <c r="R8" s="31" t="s">
        <v>4</v>
      </c>
      <c r="S8" s="32" t="s">
        <v>2</v>
      </c>
      <c r="T8" s="25" t="s">
        <v>3</v>
      </c>
      <c r="U8" s="31" t="s">
        <v>4</v>
      </c>
      <c r="V8" s="32" t="s">
        <v>2</v>
      </c>
      <c r="W8" s="25" t="s">
        <v>3</v>
      </c>
      <c r="X8" s="31" t="s">
        <v>4</v>
      </c>
      <c r="Y8" s="32" t="s">
        <v>2</v>
      </c>
      <c r="Z8" s="25" t="s">
        <v>3</v>
      </c>
      <c r="AA8" s="31" t="s">
        <v>4</v>
      </c>
      <c r="AB8" s="32" t="s">
        <v>2</v>
      </c>
      <c r="AC8" s="25" t="s">
        <v>3</v>
      </c>
      <c r="AD8" s="31" t="s">
        <v>4</v>
      </c>
      <c r="AE8" s="32" t="s">
        <v>2</v>
      </c>
      <c r="AF8" s="25" t="s">
        <v>3</v>
      </c>
      <c r="AG8" s="31" t="s">
        <v>4</v>
      </c>
      <c r="AH8" s="32" t="s">
        <v>2</v>
      </c>
      <c r="AI8" s="25" t="s">
        <v>3</v>
      </c>
      <c r="AJ8" s="31" t="s">
        <v>4</v>
      </c>
      <c r="AK8" s="32" t="s">
        <v>2</v>
      </c>
      <c r="AL8" s="25" t="s">
        <v>3</v>
      </c>
      <c r="AM8" s="31" t="s">
        <v>4</v>
      </c>
      <c r="AN8" s="32" t="s">
        <v>2</v>
      </c>
      <c r="AO8" s="25" t="s">
        <v>3</v>
      </c>
      <c r="AP8" s="31" t="s">
        <v>4</v>
      </c>
      <c r="AQ8" s="32" t="s">
        <v>2</v>
      </c>
      <c r="AR8" s="25" t="s">
        <v>3</v>
      </c>
      <c r="AS8" s="31" t="s">
        <v>4</v>
      </c>
      <c r="AT8" s="32" t="s">
        <v>2</v>
      </c>
      <c r="AU8" s="25" t="s">
        <v>3</v>
      </c>
      <c r="AV8" s="31" t="s">
        <v>4</v>
      </c>
      <c r="AW8" s="32" t="s">
        <v>2</v>
      </c>
      <c r="AX8" s="25" t="s">
        <v>3</v>
      </c>
      <c r="AY8" s="31" t="s">
        <v>4</v>
      </c>
      <c r="AZ8" s="32" t="s">
        <v>2</v>
      </c>
      <c r="BA8" s="25" t="s">
        <v>3</v>
      </c>
      <c r="BB8" s="31" t="s">
        <v>4</v>
      </c>
      <c r="BC8" s="32" t="s">
        <v>2</v>
      </c>
      <c r="BD8" s="25" t="s">
        <v>3</v>
      </c>
      <c r="BE8" s="31" t="s">
        <v>4</v>
      </c>
      <c r="BF8" s="32" t="s">
        <v>2</v>
      </c>
      <c r="BG8" s="25" t="s">
        <v>3</v>
      </c>
      <c r="BH8" s="31" t="s">
        <v>4</v>
      </c>
      <c r="BI8" s="32" t="s">
        <v>2</v>
      </c>
      <c r="BJ8" s="25" t="s">
        <v>3</v>
      </c>
      <c r="BK8" s="31" t="s">
        <v>4</v>
      </c>
      <c r="BL8" s="32" t="s">
        <v>2</v>
      </c>
      <c r="BM8" s="25" t="s">
        <v>3</v>
      </c>
      <c r="BN8" s="31" t="s">
        <v>4</v>
      </c>
      <c r="BO8" s="32" t="s">
        <v>2</v>
      </c>
      <c r="BP8" s="25" t="s">
        <v>3</v>
      </c>
      <c r="BQ8" s="31" t="s">
        <v>4</v>
      </c>
      <c r="BR8" s="32" t="s">
        <v>2</v>
      </c>
      <c r="BS8" s="25" t="s">
        <v>3</v>
      </c>
      <c r="BT8" s="31" t="s">
        <v>4</v>
      </c>
      <c r="BU8" s="32" t="s">
        <v>2</v>
      </c>
      <c r="BV8" s="25" t="s">
        <v>3</v>
      </c>
      <c r="BW8" s="31" t="s">
        <v>4</v>
      </c>
      <c r="BX8" s="32" t="s">
        <v>2</v>
      </c>
      <c r="BY8" s="25" t="s">
        <v>3</v>
      </c>
      <c r="BZ8" s="31" t="s">
        <v>4</v>
      </c>
      <c r="CA8" s="32" t="s">
        <v>2</v>
      </c>
      <c r="CB8" s="25" t="s">
        <v>3</v>
      </c>
      <c r="CC8" s="31" t="s">
        <v>4</v>
      </c>
      <c r="CD8" s="32" t="s">
        <v>2</v>
      </c>
      <c r="CE8" s="25" t="s">
        <v>3</v>
      </c>
      <c r="CF8" s="31" t="s">
        <v>4</v>
      </c>
      <c r="CG8" s="32" t="s">
        <v>2</v>
      </c>
      <c r="CH8" s="25" t="s">
        <v>3</v>
      </c>
      <c r="CI8" s="31" t="s">
        <v>4</v>
      </c>
      <c r="CJ8" s="32" t="s">
        <v>2</v>
      </c>
      <c r="CK8" s="25" t="s">
        <v>3</v>
      </c>
      <c r="CL8" s="31" t="s">
        <v>4</v>
      </c>
      <c r="CM8" s="32" t="s">
        <v>2</v>
      </c>
      <c r="CN8" s="25" t="s">
        <v>3</v>
      </c>
      <c r="CO8" s="31" t="s">
        <v>4</v>
      </c>
      <c r="CP8" s="32" t="s">
        <v>2</v>
      </c>
      <c r="CQ8" s="25" t="s">
        <v>3</v>
      </c>
      <c r="CR8" s="31" t="s">
        <v>4</v>
      </c>
      <c r="CS8" s="32" t="s">
        <v>2</v>
      </c>
      <c r="CT8" s="25" t="s">
        <v>3</v>
      </c>
      <c r="CU8" s="31" t="s">
        <v>4</v>
      </c>
      <c r="CV8" s="32" t="s">
        <v>2</v>
      </c>
      <c r="CW8" s="25" t="s">
        <v>3</v>
      </c>
      <c r="CX8" s="31" t="s">
        <v>4</v>
      </c>
      <c r="CY8" s="32" t="s">
        <v>2</v>
      </c>
      <c r="CZ8" s="25" t="s">
        <v>3</v>
      </c>
      <c r="DA8" s="31" t="s">
        <v>4</v>
      </c>
      <c r="DB8" s="32" t="s">
        <v>2</v>
      </c>
      <c r="DC8" s="25" t="s">
        <v>3</v>
      </c>
      <c r="DD8" s="31" t="s">
        <v>4</v>
      </c>
      <c r="DE8" s="32" t="s">
        <v>2</v>
      </c>
      <c r="DF8" s="25" t="s">
        <v>3</v>
      </c>
      <c r="DG8" s="60" t="s">
        <v>4</v>
      </c>
      <c r="DH8" s="64"/>
    </row>
    <row r="9" spans="2:112" x14ac:dyDescent="0.25">
      <c r="B9" s="3" t="s">
        <v>5</v>
      </c>
      <c r="C9" s="11">
        <v>1</v>
      </c>
      <c r="D9" s="16">
        <v>1</v>
      </c>
      <c r="E9" s="4">
        <v>1</v>
      </c>
      <c r="F9" s="17">
        <v>1</v>
      </c>
      <c r="G9" s="14">
        <v>1</v>
      </c>
      <c r="H9" s="2">
        <v>1</v>
      </c>
      <c r="I9" s="33">
        <v>1</v>
      </c>
      <c r="J9" s="39"/>
      <c r="K9" s="2"/>
      <c r="L9" s="33"/>
      <c r="M9" s="39"/>
      <c r="N9" s="2"/>
      <c r="O9" s="33"/>
      <c r="P9" s="39"/>
      <c r="Q9" s="2"/>
      <c r="R9" s="33"/>
      <c r="S9" s="39"/>
      <c r="T9" s="2"/>
      <c r="U9" s="33"/>
      <c r="V9" s="39"/>
      <c r="W9" s="2"/>
      <c r="X9" s="33"/>
      <c r="Y9" s="50"/>
      <c r="Z9" s="51"/>
      <c r="AA9" s="52"/>
      <c r="AB9" s="39"/>
      <c r="AC9" s="2"/>
      <c r="AD9" s="33"/>
      <c r="AE9" s="44"/>
      <c r="AF9" s="45"/>
      <c r="AG9" s="46"/>
      <c r="AH9" s="44"/>
      <c r="AI9" s="45"/>
      <c r="AJ9" s="46"/>
      <c r="AK9" s="44"/>
      <c r="AL9" s="45"/>
      <c r="AM9" s="46"/>
      <c r="AN9" s="44"/>
      <c r="AO9" s="45"/>
      <c r="AP9" s="46"/>
      <c r="AQ9" s="44"/>
      <c r="AR9" s="45"/>
      <c r="AS9" s="46"/>
      <c r="AT9" s="44"/>
      <c r="AU9" s="45"/>
      <c r="AV9" s="46"/>
      <c r="AW9" s="44"/>
      <c r="AX9" s="45"/>
      <c r="AY9" s="46"/>
      <c r="AZ9" s="44"/>
      <c r="BA9" s="45"/>
      <c r="BB9" s="46"/>
      <c r="BC9" s="44"/>
      <c r="BD9" s="45"/>
      <c r="BE9" s="46"/>
      <c r="BF9" s="44"/>
      <c r="BG9" s="45"/>
      <c r="BH9" s="46"/>
      <c r="BI9" s="44"/>
      <c r="BJ9" s="45"/>
      <c r="BK9" s="46"/>
      <c r="BL9" s="44"/>
      <c r="BM9" s="45"/>
      <c r="BN9" s="46"/>
      <c r="BO9" s="44"/>
      <c r="BP9" s="45"/>
      <c r="BQ9" s="46"/>
      <c r="BR9" s="44"/>
      <c r="BS9" s="45"/>
      <c r="BT9" s="46"/>
      <c r="BU9" s="44"/>
      <c r="BV9" s="45"/>
      <c r="BW9" s="46"/>
      <c r="BX9" s="44"/>
      <c r="BY9" s="45"/>
      <c r="BZ9" s="46"/>
      <c r="CA9" s="44"/>
      <c r="CB9" s="45"/>
      <c r="CC9" s="46"/>
      <c r="CD9" s="44"/>
      <c r="CE9" s="45"/>
      <c r="CF9" s="46"/>
      <c r="CG9" s="44"/>
      <c r="CH9" s="45"/>
      <c r="CI9" s="46"/>
      <c r="CJ9" s="44"/>
      <c r="CK9" s="45"/>
      <c r="CL9" s="46"/>
      <c r="CM9" s="44"/>
      <c r="CN9" s="45"/>
      <c r="CO9" s="46"/>
      <c r="CP9" s="44"/>
      <c r="CQ9" s="45"/>
      <c r="CR9" s="46"/>
      <c r="CS9" s="44"/>
      <c r="CT9" s="45"/>
      <c r="CU9" s="46"/>
      <c r="CV9" s="44"/>
      <c r="CW9" s="45"/>
      <c r="CX9" s="46"/>
      <c r="CY9" s="44"/>
      <c r="CZ9" s="45"/>
      <c r="DA9" s="46"/>
      <c r="DB9" s="44"/>
      <c r="DC9" s="45"/>
      <c r="DD9" s="46"/>
      <c r="DE9" s="44"/>
      <c r="DF9" s="45"/>
      <c r="DG9" s="61"/>
      <c r="DH9" s="64">
        <f>SUM(G9:DG9)</f>
        <v>3</v>
      </c>
    </row>
    <row r="10" spans="2:112" x14ac:dyDescent="0.25">
      <c r="B10" s="3" t="s">
        <v>6</v>
      </c>
      <c r="C10" s="11">
        <v>1</v>
      </c>
      <c r="D10" s="16">
        <v>1</v>
      </c>
      <c r="E10" s="4">
        <v>1</v>
      </c>
      <c r="F10" s="17">
        <v>1</v>
      </c>
      <c r="G10" s="14">
        <v>1</v>
      </c>
      <c r="H10" s="2">
        <v>1</v>
      </c>
      <c r="I10" s="33">
        <v>1</v>
      </c>
      <c r="J10" s="39"/>
      <c r="K10" s="2"/>
      <c r="L10" s="33"/>
      <c r="M10" s="39"/>
      <c r="N10" s="2"/>
      <c r="O10" s="33"/>
      <c r="P10" s="39"/>
      <c r="Q10" s="2"/>
      <c r="R10" s="33"/>
      <c r="S10" s="39"/>
      <c r="T10" s="2"/>
      <c r="U10" s="33"/>
      <c r="V10" s="39"/>
      <c r="W10" s="2"/>
      <c r="X10" s="33"/>
      <c r="Y10" s="50"/>
      <c r="Z10" s="51"/>
      <c r="AA10" s="52"/>
      <c r="AB10" s="39"/>
      <c r="AC10" s="2"/>
      <c r="AD10" s="33"/>
      <c r="AE10" s="44"/>
      <c r="AF10" s="45"/>
      <c r="AG10" s="46"/>
      <c r="AH10" s="44"/>
      <c r="AI10" s="45"/>
      <c r="AJ10" s="46"/>
      <c r="AK10" s="44"/>
      <c r="AL10" s="45"/>
      <c r="AM10" s="46"/>
      <c r="AN10" s="44"/>
      <c r="AO10" s="45"/>
      <c r="AP10" s="46"/>
      <c r="AQ10" s="44"/>
      <c r="AR10" s="45"/>
      <c r="AS10" s="46"/>
      <c r="AT10" s="44"/>
      <c r="AU10" s="45"/>
      <c r="AV10" s="46"/>
      <c r="AW10" s="44"/>
      <c r="AX10" s="45"/>
      <c r="AY10" s="46"/>
      <c r="AZ10" s="44"/>
      <c r="BA10" s="45"/>
      <c r="BB10" s="46"/>
      <c r="BC10" s="44"/>
      <c r="BD10" s="45"/>
      <c r="BE10" s="46"/>
      <c r="BF10" s="44"/>
      <c r="BG10" s="45"/>
      <c r="BH10" s="46"/>
      <c r="BI10" s="44"/>
      <c r="BJ10" s="45"/>
      <c r="BK10" s="46"/>
      <c r="BL10" s="44"/>
      <c r="BM10" s="45"/>
      <c r="BN10" s="46"/>
      <c r="BO10" s="44"/>
      <c r="BP10" s="45"/>
      <c r="BQ10" s="46"/>
      <c r="BR10" s="44"/>
      <c r="BS10" s="45"/>
      <c r="BT10" s="46"/>
      <c r="BU10" s="44"/>
      <c r="BV10" s="45"/>
      <c r="BW10" s="46"/>
      <c r="BX10" s="44"/>
      <c r="BY10" s="45"/>
      <c r="BZ10" s="46"/>
      <c r="CA10" s="44"/>
      <c r="CB10" s="45"/>
      <c r="CC10" s="46"/>
      <c r="CD10" s="44"/>
      <c r="CE10" s="45"/>
      <c r="CF10" s="46"/>
      <c r="CG10" s="44"/>
      <c r="CH10" s="45"/>
      <c r="CI10" s="46"/>
      <c r="CJ10" s="44"/>
      <c r="CK10" s="45"/>
      <c r="CL10" s="46"/>
      <c r="CM10" s="44"/>
      <c r="CN10" s="45"/>
      <c r="CO10" s="46"/>
      <c r="CP10" s="44"/>
      <c r="CQ10" s="45"/>
      <c r="CR10" s="46"/>
      <c r="CS10" s="44"/>
      <c r="CT10" s="45"/>
      <c r="CU10" s="46"/>
      <c r="CV10" s="44"/>
      <c r="CW10" s="45"/>
      <c r="CX10" s="46"/>
      <c r="CY10" s="44"/>
      <c r="CZ10" s="45"/>
      <c r="DA10" s="46"/>
      <c r="DB10" s="44"/>
      <c r="DC10" s="45"/>
      <c r="DD10" s="46"/>
      <c r="DE10" s="44"/>
      <c r="DF10" s="45"/>
      <c r="DG10" s="61"/>
      <c r="DH10" s="64">
        <f t="shared" ref="DH10:DH24" si="0">SUM(G10:DG10)</f>
        <v>3</v>
      </c>
    </row>
    <row r="11" spans="2:112" x14ac:dyDescent="0.25">
      <c r="B11" s="3" t="s">
        <v>7</v>
      </c>
      <c r="C11" s="11">
        <v>1</v>
      </c>
      <c r="D11" s="16">
        <v>1</v>
      </c>
      <c r="E11" s="4">
        <v>1</v>
      </c>
      <c r="F11" s="17">
        <v>1</v>
      </c>
      <c r="G11" s="14"/>
      <c r="H11" s="2"/>
      <c r="I11" s="33"/>
      <c r="J11" s="39">
        <v>1</v>
      </c>
      <c r="K11" s="2">
        <v>1</v>
      </c>
      <c r="L11" s="33">
        <v>1</v>
      </c>
      <c r="M11" s="39"/>
      <c r="N11" s="2"/>
      <c r="O11" s="33"/>
      <c r="P11" s="39"/>
      <c r="Q11" s="2"/>
      <c r="R11" s="33"/>
      <c r="S11" s="39"/>
      <c r="T11" s="2"/>
      <c r="U11" s="33"/>
      <c r="V11" s="39"/>
      <c r="W11" s="2"/>
      <c r="X11" s="33"/>
      <c r="Y11" s="50"/>
      <c r="Z11" s="51"/>
      <c r="AA11" s="52"/>
      <c r="AB11" s="39"/>
      <c r="AC11" s="2"/>
      <c r="AD11" s="33"/>
      <c r="AE11" s="44"/>
      <c r="AF11" s="45"/>
      <c r="AG11" s="46"/>
      <c r="AH11" s="44"/>
      <c r="AI11" s="45"/>
      <c r="AJ11" s="46"/>
      <c r="AK11" s="44"/>
      <c r="AL11" s="45"/>
      <c r="AM11" s="46"/>
      <c r="AN11" s="44"/>
      <c r="AO11" s="45"/>
      <c r="AP11" s="46"/>
      <c r="AQ11" s="44"/>
      <c r="AR11" s="45"/>
      <c r="AS11" s="46"/>
      <c r="AT11" s="44"/>
      <c r="AU11" s="45"/>
      <c r="AV11" s="46"/>
      <c r="AW11" s="44"/>
      <c r="AX11" s="45"/>
      <c r="AY11" s="46"/>
      <c r="AZ11" s="44"/>
      <c r="BA11" s="45"/>
      <c r="BB11" s="46"/>
      <c r="BC11" s="44"/>
      <c r="BD11" s="45"/>
      <c r="BE11" s="46"/>
      <c r="BF11" s="44"/>
      <c r="BG11" s="45"/>
      <c r="BH11" s="46"/>
      <c r="BI11" s="44"/>
      <c r="BJ11" s="45"/>
      <c r="BK11" s="46"/>
      <c r="BL11" s="44"/>
      <c r="BM11" s="45"/>
      <c r="BN11" s="46"/>
      <c r="BO11" s="44"/>
      <c r="BP11" s="45"/>
      <c r="BQ11" s="46"/>
      <c r="BR11" s="44"/>
      <c r="BS11" s="45"/>
      <c r="BT11" s="46"/>
      <c r="BU11" s="44"/>
      <c r="BV11" s="45"/>
      <c r="BW11" s="46"/>
      <c r="BX11" s="44"/>
      <c r="BY11" s="45"/>
      <c r="BZ11" s="46"/>
      <c r="CA11" s="44"/>
      <c r="CB11" s="45"/>
      <c r="CC11" s="46"/>
      <c r="CD11" s="44"/>
      <c r="CE11" s="45"/>
      <c r="CF11" s="46"/>
      <c r="CG11" s="44"/>
      <c r="CH11" s="45"/>
      <c r="CI11" s="46"/>
      <c r="CJ11" s="44"/>
      <c r="CK11" s="45"/>
      <c r="CL11" s="46"/>
      <c r="CM11" s="44"/>
      <c r="CN11" s="45"/>
      <c r="CO11" s="46"/>
      <c r="CP11" s="44"/>
      <c r="CQ11" s="45"/>
      <c r="CR11" s="46"/>
      <c r="CS11" s="44"/>
      <c r="CT11" s="45"/>
      <c r="CU11" s="46"/>
      <c r="CV11" s="44"/>
      <c r="CW11" s="45"/>
      <c r="CX11" s="46"/>
      <c r="CY11" s="44"/>
      <c r="CZ11" s="45"/>
      <c r="DA11" s="46"/>
      <c r="DB11" s="44"/>
      <c r="DC11" s="45"/>
      <c r="DD11" s="46"/>
      <c r="DE11" s="44"/>
      <c r="DF11" s="45"/>
      <c r="DG11" s="61"/>
      <c r="DH11" s="64">
        <f t="shared" si="0"/>
        <v>3</v>
      </c>
    </row>
    <row r="12" spans="2:112" x14ac:dyDescent="0.25">
      <c r="B12" s="3" t="s">
        <v>8</v>
      </c>
      <c r="C12" s="11">
        <v>1</v>
      </c>
      <c r="D12" s="16">
        <v>1</v>
      </c>
      <c r="E12" s="4">
        <v>1</v>
      </c>
      <c r="F12" s="17">
        <v>1</v>
      </c>
      <c r="G12" s="14"/>
      <c r="H12" s="2"/>
      <c r="I12" s="33"/>
      <c r="J12" s="39">
        <v>1</v>
      </c>
      <c r="K12" s="2">
        <v>1</v>
      </c>
      <c r="L12" s="33">
        <v>1</v>
      </c>
      <c r="M12" s="39"/>
      <c r="N12" s="2"/>
      <c r="O12" s="33"/>
      <c r="P12" s="39"/>
      <c r="Q12" s="2"/>
      <c r="R12" s="33"/>
      <c r="S12" s="39"/>
      <c r="T12" s="2"/>
      <c r="U12" s="33"/>
      <c r="V12" s="39"/>
      <c r="W12" s="2"/>
      <c r="X12" s="33"/>
      <c r="Y12" s="50"/>
      <c r="Z12" s="51"/>
      <c r="AA12" s="52"/>
      <c r="AB12" s="39"/>
      <c r="AC12" s="2"/>
      <c r="AD12" s="33"/>
      <c r="AE12" s="44"/>
      <c r="AF12" s="45"/>
      <c r="AG12" s="46"/>
      <c r="AH12" s="44"/>
      <c r="AI12" s="45"/>
      <c r="AJ12" s="46"/>
      <c r="AK12" s="44"/>
      <c r="AL12" s="45"/>
      <c r="AM12" s="46"/>
      <c r="AN12" s="44"/>
      <c r="AO12" s="45"/>
      <c r="AP12" s="46"/>
      <c r="AQ12" s="44"/>
      <c r="AR12" s="45"/>
      <c r="AS12" s="46"/>
      <c r="AT12" s="44"/>
      <c r="AU12" s="45"/>
      <c r="AV12" s="46"/>
      <c r="AW12" s="44"/>
      <c r="AX12" s="45"/>
      <c r="AY12" s="46"/>
      <c r="AZ12" s="44"/>
      <c r="BA12" s="45"/>
      <c r="BB12" s="46"/>
      <c r="BC12" s="44"/>
      <c r="BD12" s="45"/>
      <c r="BE12" s="46"/>
      <c r="BF12" s="44"/>
      <c r="BG12" s="45"/>
      <c r="BH12" s="46"/>
      <c r="BI12" s="44"/>
      <c r="BJ12" s="45"/>
      <c r="BK12" s="46"/>
      <c r="BL12" s="44"/>
      <c r="BM12" s="45"/>
      <c r="BN12" s="46"/>
      <c r="BO12" s="44"/>
      <c r="BP12" s="45"/>
      <c r="BQ12" s="46"/>
      <c r="BR12" s="44"/>
      <c r="BS12" s="45"/>
      <c r="BT12" s="46"/>
      <c r="BU12" s="44"/>
      <c r="BV12" s="45"/>
      <c r="BW12" s="46"/>
      <c r="BX12" s="44"/>
      <c r="BY12" s="45"/>
      <c r="BZ12" s="46"/>
      <c r="CA12" s="44"/>
      <c r="CB12" s="45"/>
      <c r="CC12" s="46"/>
      <c r="CD12" s="44"/>
      <c r="CE12" s="45"/>
      <c r="CF12" s="46"/>
      <c r="CG12" s="44"/>
      <c r="CH12" s="45"/>
      <c r="CI12" s="46"/>
      <c r="CJ12" s="44"/>
      <c r="CK12" s="45"/>
      <c r="CL12" s="46"/>
      <c r="CM12" s="44"/>
      <c r="CN12" s="45"/>
      <c r="CO12" s="46"/>
      <c r="CP12" s="44"/>
      <c r="CQ12" s="45"/>
      <c r="CR12" s="46"/>
      <c r="CS12" s="44"/>
      <c r="CT12" s="45"/>
      <c r="CU12" s="46"/>
      <c r="CV12" s="44"/>
      <c r="CW12" s="45"/>
      <c r="CX12" s="46"/>
      <c r="CY12" s="44"/>
      <c r="CZ12" s="45"/>
      <c r="DA12" s="46"/>
      <c r="DB12" s="44"/>
      <c r="DC12" s="45"/>
      <c r="DD12" s="46"/>
      <c r="DE12" s="44"/>
      <c r="DF12" s="45"/>
      <c r="DG12" s="61"/>
      <c r="DH12" s="64">
        <f t="shared" si="0"/>
        <v>3</v>
      </c>
    </row>
    <row r="13" spans="2:112" x14ac:dyDescent="0.25">
      <c r="B13" s="3" t="s">
        <v>9</v>
      </c>
      <c r="C13" s="11">
        <v>1</v>
      </c>
      <c r="D13" s="16">
        <v>1</v>
      </c>
      <c r="E13" s="4">
        <v>1</v>
      </c>
      <c r="F13" s="17">
        <v>1</v>
      </c>
      <c r="G13" s="14"/>
      <c r="H13" s="2"/>
      <c r="I13" s="33"/>
      <c r="J13" s="39"/>
      <c r="K13" s="2"/>
      <c r="L13" s="33"/>
      <c r="M13" s="39">
        <v>1</v>
      </c>
      <c r="N13" s="2">
        <v>1</v>
      </c>
      <c r="O13" s="33">
        <v>1</v>
      </c>
      <c r="P13" s="39"/>
      <c r="Q13" s="2"/>
      <c r="R13" s="33"/>
      <c r="S13" s="39"/>
      <c r="T13" s="2"/>
      <c r="U13" s="33"/>
      <c r="V13" s="39"/>
      <c r="W13" s="2"/>
      <c r="X13" s="33"/>
      <c r="Y13" s="50"/>
      <c r="Z13" s="51"/>
      <c r="AA13" s="52"/>
      <c r="AB13" s="39"/>
      <c r="AC13" s="2"/>
      <c r="AD13" s="33"/>
      <c r="AE13" s="44"/>
      <c r="AF13" s="45"/>
      <c r="AG13" s="46"/>
      <c r="AH13" s="44"/>
      <c r="AI13" s="45"/>
      <c r="AJ13" s="46"/>
      <c r="AK13" s="44"/>
      <c r="AL13" s="45"/>
      <c r="AM13" s="46"/>
      <c r="AN13" s="44"/>
      <c r="AO13" s="45"/>
      <c r="AP13" s="46"/>
      <c r="AQ13" s="44"/>
      <c r="AR13" s="45"/>
      <c r="AS13" s="46"/>
      <c r="AT13" s="44"/>
      <c r="AU13" s="45"/>
      <c r="AV13" s="46"/>
      <c r="AW13" s="44"/>
      <c r="AX13" s="45"/>
      <c r="AY13" s="46"/>
      <c r="AZ13" s="44"/>
      <c r="BA13" s="45"/>
      <c r="BB13" s="46"/>
      <c r="BC13" s="44"/>
      <c r="BD13" s="45"/>
      <c r="BE13" s="46"/>
      <c r="BF13" s="44"/>
      <c r="BG13" s="45"/>
      <c r="BH13" s="46"/>
      <c r="BI13" s="44"/>
      <c r="BJ13" s="45"/>
      <c r="BK13" s="46"/>
      <c r="BL13" s="44"/>
      <c r="BM13" s="45"/>
      <c r="BN13" s="46"/>
      <c r="BO13" s="44"/>
      <c r="BP13" s="45"/>
      <c r="BQ13" s="46"/>
      <c r="BR13" s="44"/>
      <c r="BS13" s="45"/>
      <c r="BT13" s="46"/>
      <c r="BU13" s="44"/>
      <c r="BV13" s="45"/>
      <c r="BW13" s="46"/>
      <c r="BX13" s="44"/>
      <c r="BY13" s="45"/>
      <c r="BZ13" s="46"/>
      <c r="CA13" s="44"/>
      <c r="CB13" s="45"/>
      <c r="CC13" s="46"/>
      <c r="CD13" s="44"/>
      <c r="CE13" s="45"/>
      <c r="CF13" s="46"/>
      <c r="CG13" s="44"/>
      <c r="CH13" s="45"/>
      <c r="CI13" s="46"/>
      <c r="CJ13" s="44"/>
      <c r="CK13" s="45"/>
      <c r="CL13" s="46"/>
      <c r="CM13" s="44"/>
      <c r="CN13" s="45"/>
      <c r="CO13" s="46"/>
      <c r="CP13" s="44"/>
      <c r="CQ13" s="45"/>
      <c r="CR13" s="46"/>
      <c r="CS13" s="44"/>
      <c r="CT13" s="45"/>
      <c r="CU13" s="46"/>
      <c r="CV13" s="44"/>
      <c r="CW13" s="45"/>
      <c r="CX13" s="46"/>
      <c r="CY13" s="44"/>
      <c r="CZ13" s="45"/>
      <c r="DA13" s="46"/>
      <c r="DB13" s="44"/>
      <c r="DC13" s="45"/>
      <c r="DD13" s="46"/>
      <c r="DE13" s="44"/>
      <c r="DF13" s="45"/>
      <c r="DG13" s="61"/>
      <c r="DH13" s="64">
        <f t="shared" si="0"/>
        <v>3</v>
      </c>
    </row>
    <row r="14" spans="2:112" x14ac:dyDescent="0.25">
      <c r="B14" s="3" t="s">
        <v>10</v>
      </c>
      <c r="C14" s="11">
        <v>1</v>
      </c>
      <c r="D14" s="16">
        <v>1</v>
      </c>
      <c r="E14" s="4">
        <v>1</v>
      </c>
      <c r="F14" s="17">
        <v>1</v>
      </c>
      <c r="G14" s="14"/>
      <c r="H14" s="2"/>
      <c r="I14" s="33"/>
      <c r="J14" s="39"/>
      <c r="K14" s="2"/>
      <c r="L14" s="33"/>
      <c r="M14" s="39">
        <v>1</v>
      </c>
      <c r="N14" s="2">
        <v>1</v>
      </c>
      <c r="O14" s="33">
        <v>1</v>
      </c>
      <c r="P14" s="39"/>
      <c r="Q14" s="2"/>
      <c r="R14" s="33"/>
      <c r="S14" s="39"/>
      <c r="T14" s="2"/>
      <c r="U14" s="33"/>
      <c r="V14" s="39"/>
      <c r="W14" s="2"/>
      <c r="X14" s="33"/>
      <c r="Y14" s="50"/>
      <c r="Z14" s="51"/>
      <c r="AA14" s="52"/>
      <c r="AB14" s="39"/>
      <c r="AC14" s="2"/>
      <c r="AD14" s="33"/>
      <c r="AE14" s="44"/>
      <c r="AF14" s="45"/>
      <c r="AG14" s="46"/>
      <c r="AH14" s="44"/>
      <c r="AI14" s="45"/>
      <c r="AJ14" s="46"/>
      <c r="AK14" s="44"/>
      <c r="AL14" s="45"/>
      <c r="AM14" s="46"/>
      <c r="AN14" s="44"/>
      <c r="AO14" s="45"/>
      <c r="AP14" s="46"/>
      <c r="AQ14" s="44"/>
      <c r="AR14" s="45"/>
      <c r="AS14" s="46"/>
      <c r="AT14" s="44"/>
      <c r="AU14" s="45"/>
      <c r="AV14" s="46"/>
      <c r="AW14" s="44"/>
      <c r="AX14" s="45"/>
      <c r="AY14" s="46"/>
      <c r="AZ14" s="44"/>
      <c r="BA14" s="45"/>
      <c r="BB14" s="46"/>
      <c r="BC14" s="44"/>
      <c r="BD14" s="45"/>
      <c r="BE14" s="46"/>
      <c r="BF14" s="44"/>
      <c r="BG14" s="45"/>
      <c r="BH14" s="46"/>
      <c r="BI14" s="44"/>
      <c r="BJ14" s="45"/>
      <c r="BK14" s="46"/>
      <c r="BL14" s="44"/>
      <c r="BM14" s="45"/>
      <c r="BN14" s="46"/>
      <c r="BO14" s="44"/>
      <c r="BP14" s="45"/>
      <c r="BQ14" s="46"/>
      <c r="BR14" s="44"/>
      <c r="BS14" s="45"/>
      <c r="BT14" s="46"/>
      <c r="BU14" s="44"/>
      <c r="BV14" s="45"/>
      <c r="BW14" s="46"/>
      <c r="BX14" s="44"/>
      <c r="BY14" s="45"/>
      <c r="BZ14" s="46"/>
      <c r="CA14" s="44"/>
      <c r="CB14" s="45"/>
      <c r="CC14" s="46"/>
      <c r="CD14" s="44"/>
      <c r="CE14" s="45"/>
      <c r="CF14" s="46"/>
      <c r="CG14" s="44"/>
      <c r="CH14" s="45"/>
      <c r="CI14" s="46"/>
      <c r="CJ14" s="44"/>
      <c r="CK14" s="45"/>
      <c r="CL14" s="46"/>
      <c r="CM14" s="44"/>
      <c r="CN14" s="45"/>
      <c r="CO14" s="46"/>
      <c r="CP14" s="44"/>
      <c r="CQ14" s="45"/>
      <c r="CR14" s="46"/>
      <c r="CS14" s="44"/>
      <c r="CT14" s="45"/>
      <c r="CU14" s="46"/>
      <c r="CV14" s="44"/>
      <c r="CW14" s="45"/>
      <c r="CX14" s="46"/>
      <c r="CY14" s="44"/>
      <c r="CZ14" s="45"/>
      <c r="DA14" s="46"/>
      <c r="DB14" s="44"/>
      <c r="DC14" s="45"/>
      <c r="DD14" s="46"/>
      <c r="DE14" s="44"/>
      <c r="DF14" s="45"/>
      <c r="DG14" s="61"/>
      <c r="DH14" s="64">
        <f t="shared" si="0"/>
        <v>3</v>
      </c>
    </row>
    <row r="15" spans="2:112" x14ac:dyDescent="0.25">
      <c r="B15" s="3" t="s">
        <v>11</v>
      </c>
      <c r="C15" s="11">
        <v>1</v>
      </c>
      <c r="D15" s="16">
        <v>1</v>
      </c>
      <c r="E15" s="4">
        <v>1</v>
      </c>
      <c r="F15" s="17">
        <v>1</v>
      </c>
      <c r="G15" s="14"/>
      <c r="H15" s="2"/>
      <c r="I15" s="33"/>
      <c r="J15" s="39"/>
      <c r="K15" s="2"/>
      <c r="L15" s="33"/>
      <c r="M15" s="39"/>
      <c r="N15" s="2"/>
      <c r="O15" s="33"/>
      <c r="P15" s="39">
        <v>1</v>
      </c>
      <c r="Q15" s="2">
        <v>1</v>
      </c>
      <c r="R15" s="33">
        <v>1</v>
      </c>
      <c r="S15" s="39"/>
      <c r="T15" s="2"/>
      <c r="U15" s="33"/>
      <c r="V15" s="39"/>
      <c r="W15" s="2"/>
      <c r="X15" s="33"/>
      <c r="Y15" s="50"/>
      <c r="Z15" s="51"/>
      <c r="AA15" s="52"/>
      <c r="AB15" s="39"/>
      <c r="AC15" s="2"/>
      <c r="AD15" s="33"/>
      <c r="AE15" s="44"/>
      <c r="AF15" s="45"/>
      <c r="AG15" s="46"/>
      <c r="AH15" s="44"/>
      <c r="AI15" s="45"/>
      <c r="AJ15" s="46"/>
      <c r="AK15" s="44"/>
      <c r="AL15" s="45"/>
      <c r="AM15" s="46"/>
      <c r="AN15" s="44"/>
      <c r="AO15" s="45"/>
      <c r="AP15" s="46"/>
      <c r="AQ15" s="44"/>
      <c r="AR15" s="45"/>
      <c r="AS15" s="46"/>
      <c r="AT15" s="44"/>
      <c r="AU15" s="45"/>
      <c r="AV15" s="46"/>
      <c r="AW15" s="44"/>
      <c r="AX15" s="45"/>
      <c r="AY15" s="46"/>
      <c r="AZ15" s="44"/>
      <c r="BA15" s="45"/>
      <c r="BB15" s="46"/>
      <c r="BC15" s="44"/>
      <c r="BD15" s="45"/>
      <c r="BE15" s="46"/>
      <c r="BF15" s="44"/>
      <c r="BG15" s="45"/>
      <c r="BH15" s="46"/>
      <c r="BI15" s="44"/>
      <c r="BJ15" s="45"/>
      <c r="BK15" s="46"/>
      <c r="BL15" s="44"/>
      <c r="BM15" s="45"/>
      <c r="BN15" s="46"/>
      <c r="BO15" s="44"/>
      <c r="BP15" s="45"/>
      <c r="BQ15" s="46"/>
      <c r="BR15" s="44"/>
      <c r="BS15" s="45"/>
      <c r="BT15" s="46"/>
      <c r="BU15" s="44"/>
      <c r="BV15" s="45"/>
      <c r="BW15" s="46"/>
      <c r="BX15" s="44"/>
      <c r="BY15" s="45"/>
      <c r="BZ15" s="46"/>
      <c r="CA15" s="44"/>
      <c r="CB15" s="45"/>
      <c r="CC15" s="46"/>
      <c r="CD15" s="44"/>
      <c r="CE15" s="45"/>
      <c r="CF15" s="46"/>
      <c r="CG15" s="44"/>
      <c r="CH15" s="45"/>
      <c r="CI15" s="46"/>
      <c r="CJ15" s="44"/>
      <c r="CK15" s="45"/>
      <c r="CL15" s="46"/>
      <c r="CM15" s="44"/>
      <c r="CN15" s="45"/>
      <c r="CO15" s="46"/>
      <c r="CP15" s="44"/>
      <c r="CQ15" s="45"/>
      <c r="CR15" s="46"/>
      <c r="CS15" s="44"/>
      <c r="CT15" s="45"/>
      <c r="CU15" s="46"/>
      <c r="CV15" s="44"/>
      <c r="CW15" s="45"/>
      <c r="CX15" s="46"/>
      <c r="CY15" s="44"/>
      <c r="CZ15" s="45"/>
      <c r="DA15" s="46"/>
      <c r="DB15" s="44"/>
      <c r="DC15" s="45"/>
      <c r="DD15" s="46"/>
      <c r="DE15" s="44"/>
      <c r="DF15" s="45"/>
      <c r="DG15" s="61"/>
      <c r="DH15" s="64">
        <f t="shared" si="0"/>
        <v>3</v>
      </c>
    </row>
    <row r="16" spans="2:112" x14ac:dyDescent="0.25">
      <c r="B16" s="3" t="s">
        <v>12</v>
      </c>
      <c r="C16" s="11">
        <v>1</v>
      </c>
      <c r="D16" s="16">
        <v>1</v>
      </c>
      <c r="E16" s="4">
        <v>1</v>
      </c>
      <c r="F16" s="17">
        <v>1</v>
      </c>
      <c r="G16" s="14"/>
      <c r="H16" s="2"/>
      <c r="I16" s="33"/>
      <c r="J16" s="39"/>
      <c r="K16" s="2"/>
      <c r="L16" s="33"/>
      <c r="M16" s="39"/>
      <c r="N16" s="2"/>
      <c r="O16" s="33"/>
      <c r="P16" s="39">
        <v>1</v>
      </c>
      <c r="Q16" s="2">
        <v>1</v>
      </c>
      <c r="R16" s="33">
        <v>1</v>
      </c>
      <c r="S16" s="39"/>
      <c r="T16" s="2"/>
      <c r="U16" s="33"/>
      <c r="V16" s="39"/>
      <c r="W16" s="2"/>
      <c r="X16" s="33"/>
      <c r="Y16" s="50"/>
      <c r="Z16" s="51"/>
      <c r="AA16" s="52"/>
      <c r="AB16" s="39"/>
      <c r="AC16" s="2"/>
      <c r="AD16" s="33"/>
      <c r="AE16" s="44"/>
      <c r="AF16" s="45"/>
      <c r="AG16" s="46"/>
      <c r="AH16" s="44"/>
      <c r="AI16" s="45"/>
      <c r="AJ16" s="46"/>
      <c r="AK16" s="44"/>
      <c r="AL16" s="45"/>
      <c r="AM16" s="46"/>
      <c r="AN16" s="44"/>
      <c r="AO16" s="45"/>
      <c r="AP16" s="46"/>
      <c r="AQ16" s="44"/>
      <c r="AR16" s="45"/>
      <c r="AS16" s="46"/>
      <c r="AT16" s="44"/>
      <c r="AU16" s="45"/>
      <c r="AV16" s="46"/>
      <c r="AW16" s="44"/>
      <c r="AX16" s="45"/>
      <c r="AY16" s="46"/>
      <c r="AZ16" s="44"/>
      <c r="BA16" s="45"/>
      <c r="BB16" s="46"/>
      <c r="BC16" s="44"/>
      <c r="BD16" s="45"/>
      <c r="BE16" s="46"/>
      <c r="BF16" s="44"/>
      <c r="BG16" s="45"/>
      <c r="BH16" s="46"/>
      <c r="BI16" s="44"/>
      <c r="BJ16" s="45"/>
      <c r="BK16" s="46"/>
      <c r="BL16" s="44"/>
      <c r="BM16" s="45"/>
      <c r="BN16" s="46"/>
      <c r="BO16" s="44"/>
      <c r="BP16" s="45"/>
      <c r="BQ16" s="46"/>
      <c r="BR16" s="44"/>
      <c r="BS16" s="45"/>
      <c r="BT16" s="46"/>
      <c r="BU16" s="44"/>
      <c r="BV16" s="45"/>
      <c r="BW16" s="46"/>
      <c r="BX16" s="44"/>
      <c r="BY16" s="45"/>
      <c r="BZ16" s="46"/>
      <c r="CA16" s="44"/>
      <c r="CB16" s="45"/>
      <c r="CC16" s="46"/>
      <c r="CD16" s="44"/>
      <c r="CE16" s="45"/>
      <c r="CF16" s="46"/>
      <c r="CG16" s="44"/>
      <c r="CH16" s="45"/>
      <c r="CI16" s="46"/>
      <c r="CJ16" s="44"/>
      <c r="CK16" s="45"/>
      <c r="CL16" s="46"/>
      <c r="CM16" s="44"/>
      <c r="CN16" s="45"/>
      <c r="CO16" s="46"/>
      <c r="CP16" s="44"/>
      <c r="CQ16" s="45"/>
      <c r="CR16" s="46"/>
      <c r="CS16" s="44"/>
      <c r="CT16" s="45"/>
      <c r="CU16" s="46"/>
      <c r="CV16" s="44"/>
      <c r="CW16" s="45"/>
      <c r="CX16" s="46"/>
      <c r="CY16" s="44"/>
      <c r="CZ16" s="45"/>
      <c r="DA16" s="46"/>
      <c r="DB16" s="44"/>
      <c r="DC16" s="45"/>
      <c r="DD16" s="46"/>
      <c r="DE16" s="44"/>
      <c r="DF16" s="45"/>
      <c r="DG16" s="61"/>
      <c r="DH16" s="64">
        <f t="shared" si="0"/>
        <v>3</v>
      </c>
    </row>
    <row r="17" spans="2:112" x14ac:dyDescent="0.25">
      <c r="B17" s="3" t="s">
        <v>13</v>
      </c>
      <c r="C17" s="11">
        <v>1</v>
      </c>
      <c r="D17" s="16">
        <v>1</v>
      </c>
      <c r="E17" s="4">
        <v>1</v>
      </c>
      <c r="F17" s="17">
        <v>1</v>
      </c>
      <c r="G17" s="14"/>
      <c r="H17" s="2"/>
      <c r="I17" s="33"/>
      <c r="J17" s="39"/>
      <c r="K17" s="2"/>
      <c r="L17" s="33"/>
      <c r="M17" s="39"/>
      <c r="N17" s="2"/>
      <c r="O17" s="33"/>
      <c r="P17" s="39"/>
      <c r="Q17" s="2"/>
      <c r="R17" s="33"/>
      <c r="S17" s="39">
        <v>1</v>
      </c>
      <c r="T17" s="2">
        <v>1</v>
      </c>
      <c r="U17" s="33">
        <v>1</v>
      </c>
      <c r="V17" s="39"/>
      <c r="W17" s="2"/>
      <c r="X17" s="33"/>
      <c r="Y17" s="50"/>
      <c r="Z17" s="51"/>
      <c r="AA17" s="52"/>
      <c r="AB17" s="39"/>
      <c r="AC17" s="2"/>
      <c r="AD17" s="33"/>
      <c r="AE17" s="44"/>
      <c r="AF17" s="45"/>
      <c r="AG17" s="46"/>
      <c r="AH17" s="44"/>
      <c r="AI17" s="45"/>
      <c r="AJ17" s="46"/>
      <c r="AK17" s="44"/>
      <c r="AL17" s="45"/>
      <c r="AM17" s="46"/>
      <c r="AN17" s="44"/>
      <c r="AO17" s="45"/>
      <c r="AP17" s="46"/>
      <c r="AQ17" s="44"/>
      <c r="AR17" s="45"/>
      <c r="AS17" s="46"/>
      <c r="AT17" s="44"/>
      <c r="AU17" s="45"/>
      <c r="AV17" s="46"/>
      <c r="AW17" s="44"/>
      <c r="AX17" s="45"/>
      <c r="AY17" s="46"/>
      <c r="AZ17" s="44"/>
      <c r="BA17" s="45"/>
      <c r="BB17" s="46"/>
      <c r="BC17" s="44"/>
      <c r="BD17" s="45"/>
      <c r="BE17" s="46"/>
      <c r="BF17" s="44"/>
      <c r="BG17" s="45"/>
      <c r="BH17" s="46"/>
      <c r="BI17" s="44"/>
      <c r="BJ17" s="45"/>
      <c r="BK17" s="46"/>
      <c r="BL17" s="44"/>
      <c r="BM17" s="45"/>
      <c r="BN17" s="46"/>
      <c r="BO17" s="44"/>
      <c r="BP17" s="45"/>
      <c r="BQ17" s="46"/>
      <c r="BR17" s="44"/>
      <c r="BS17" s="45"/>
      <c r="BT17" s="46"/>
      <c r="BU17" s="44"/>
      <c r="BV17" s="45"/>
      <c r="BW17" s="46"/>
      <c r="BX17" s="44"/>
      <c r="BY17" s="45"/>
      <c r="BZ17" s="46"/>
      <c r="CA17" s="44"/>
      <c r="CB17" s="45"/>
      <c r="CC17" s="46"/>
      <c r="CD17" s="44"/>
      <c r="CE17" s="45"/>
      <c r="CF17" s="46"/>
      <c r="CG17" s="44"/>
      <c r="CH17" s="45"/>
      <c r="CI17" s="46"/>
      <c r="CJ17" s="44"/>
      <c r="CK17" s="45"/>
      <c r="CL17" s="46"/>
      <c r="CM17" s="44"/>
      <c r="CN17" s="45"/>
      <c r="CO17" s="46"/>
      <c r="CP17" s="44"/>
      <c r="CQ17" s="45"/>
      <c r="CR17" s="46"/>
      <c r="CS17" s="44"/>
      <c r="CT17" s="45"/>
      <c r="CU17" s="46"/>
      <c r="CV17" s="44"/>
      <c r="CW17" s="45"/>
      <c r="CX17" s="46"/>
      <c r="CY17" s="44"/>
      <c r="CZ17" s="45"/>
      <c r="DA17" s="46"/>
      <c r="DB17" s="44"/>
      <c r="DC17" s="45"/>
      <c r="DD17" s="46"/>
      <c r="DE17" s="44"/>
      <c r="DF17" s="45"/>
      <c r="DG17" s="61"/>
      <c r="DH17" s="64">
        <f t="shared" si="0"/>
        <v>3</v>
      </c>
    </row>
    <row r="18" spans="2:112" x14ac:dyDescent="0.25">
      <c r="B18" s="3" t="s">
        <v>14</v>
      </c>
      <c r="C18" s="11">
        <v>1</v>
      </c>
      <c r="D18" s="16">
        <v>1</v>
      </c>
      <c r="E18" s="4">
        <v>1</v>
      </c>
      <c r="F18" s="17">
        <v>1</v>
      </c>
      <c r="G18" s="14"/>
      <c r="H18" s="2"/>
      <c r="I18" s="33"/>
      <c r="J18" s="39"/>
      <c r="K18" s="2"/>
      <c r="L18" s="33"/>
      <c r="M18" s="39"/>
      <c r="N18" s="2"/>
      <c r="O18" s="33"/>
      <c r="P18" s="39"/>
      <c r="Q18" s="2"/>
      <c r="R18" s="33"/>
      <c r="S18" s="39">
        <v>1</v>
      </c>
      <c r="T18" s="2">
        <v>1</v>
      </c>
      <c r="U18" s="33">
        <v>1</v>
      </c>
      <c r="V18" s="39"/>
      <c r="W18" s="2"/>
      <c r="X18" s="33"/>
      <c r="Y18" s="50"/>
      <c r="Z18" s="51"/>
      <c r="AA18" s="52"/>
      <c r="AB18" s="39"/>
      <c r="AC18" s="2"/>
      <c r="AD18" s="33"/>
      <c r="AE18" s="44"/>
      <c r="AF18" s="45"/>
      <c r="AG18" s="46"/>
      <c r="AH18" s="44"/>
      <c r="AI18" s="45"/>
      <c r="AJ18" s="46"/>
      <c r="AK18" s="44"/>
      <c r="AL18" s="45"/>
      <c r="AM18" s="46"/>
      <c r="AN18" s="44"/>
      <c r="AO18" s="45"/>
      <c r="AP18" s="46"/>
      <c r="AQ18" s="44"/>
      <c r="AR18" s="45"/>
      <c r="AS18" s="46"/>
      <c r="AT18" s="44"/>
      <c r="AU18" s="45"/>
      <c r="AV18" s="46"/>
      <c r="AW18" s="44"/>
      <c r="AX18" s="45"/>
      <c r="AY18" s="46"/>
      <c r="AZ18" s="44"/>
      <c r="BA18" s="45"/>
      <c r="BB18" s="46"/>
      <c r="BC18" s="44"/>
      <c r="BD18" s="45"/>
      <c r="BE18" s="46"/>
      <c r="BF18" s="44"/>
      <c r="BG18" s="45"/>
      <c r="BH18" s="46"/>
      <c r="BI18" s="44"/>
      <c r="BJ18" s="45"/>
      <c r="BK18" s="46"/>
      <c r="BL18" s="44"/>
      <c r="BM18" s="45"/>
      <c r="BN18" s="46"/>
      <c r="BO18" s="44"/>
      <c r="BP18" s="45"/>
      <c r="BQ18" s="46"/>
      <c r="BR18" s="44"/>
      <c r="BS18" s="45"/>
      <c r="BT18" s="46"/>
      <c r="BU18" s="44"/>
      <c r="BV18" s="45"/>
      <c r="BW18" s="46"/>
      <c r="BX18" s="44"/>
      <c r="BY18" s="45"/>
      <c r="BZ18" s="46"/>
      <c r="CA18" s="44"/>
      <c r="CB18" s="45"/>
      <c r="CC18" s="46"/>
      <c r="CD18" s="44"/>
      <c r="CE18" s="45"/>
      <c r="CF18" s="46"/>
      <c r="CG18" s="44"/>
      <c r="CH18" s="45"/>
      <c r="CI18" s="46"/>
      <c r="CJ18" s="44"/>
      <c r="CK18" s="45"/>
      <c r="CL18" s="46"/>
      <c r="CM18" s="44"/>
      <c r="CN18" s="45"/>
      <c r="CO18" s="46"/>
      <c r="CP18" s="44"/>
      <c r="CQ18" s="45"/>
      <c r="CR18" s="46"/>
      <c r="CS18" s="44"/>
      <c r="CT18" s="45"/>
      <c r="CU18" s="46"/>
      <c r="CV18" s="44"/>
      <c r="CW18" s="45"/>
      <c r="CX18" s="46"/>
      <c r="CY18" s="44"/>
      <c r="CZ18" s="45"/>
      <c r="DA18" s="46"/>
      <c r="DB18" s="44"/>
      <c r="DC18" s="45"/>
      <c r="DD18" s="46"/>
      <c r="DE18" s="44"/>
      <c r="DF18" s="45"/>
      <c r="DG18" s="61"/>
      <c r="DH18" s="64">
        <f t="shared" si="0"/>
        <v>3</v>
      </c>
    </row>
    <row r="19" spans="2:112" x14ac:dyDescent="0.25">
      <c r="B19" s="3" t="s">
        <v>15</v>
      </c>
      <c r="C19" s="11">
        <v>1</v>
      </c>
      <c r="D19" s="16">
        <v>1</v>
      </c>
      <c r="E19" s="4">
        <v>1</v>
      </c>
      <c r="F19" s="17">
        <v>1</v>
      </c>
      <c r="G19" s="14"/>
      <c r="H19" s="2"/>
      <c r="I19" s="33"/>
      <c r="J19" s="39"/>
      <c r="K19" s="2"/>
      <c r="L19" s="33"/>
      <c r="M19" s="39"/>
      <c r="N19" s="2"/>
      <c r="O19" s="33"/>
      <c r="P19" s="39"/>
      <c r="Q19" s="2"/>
      <c r="R19" s="33"/>
      <c r="S19" s="39"/>
      <c r="T19" s="2"/>
      <c r="U19" s="33"/>
      <c r="V19" s="39">
        <v>1</v>
      </c>
      <c r="W19" s="2">
        <v>1</v>
      </c>
      <c r="X19" s="33">
        <v>1</v>
      </c>
      <c r="Y19" s="50"/>
      <c r="Z19" s="51"/>
      <c r="AA19" s="52"/>
      <c r="AB19" s="39"/>
      <c r="AC19" s="2"/>
      <c r="AD19" s="33"/>
      <c r="AE19" s="44"/>
      <c r="AF19" s="45"/>
      <c r="AG19" s="46"/>
      <c r="AH19" s="44"/>
      <c r="AI19" s="45"/>
      <c r="AJ19" s="46"/>
      <c r="AK19" s="44"/>
      <c r="AL19" s="45"/>
      <c r="AM19" s="46"/>
      <c r="AN19" s="44"/>
      <c r="AO19" s="45"/>
      <c r="AP19" s="46"/>
      <c r="AQ19" s="44"/>
      <c r="AR19" s="45"/>
      <c r="AS19" s="46"/>
      <c r="AT19" s="44"/>
      <c r="AU19" s="45"/>
      <c r="AV19" s="46"/>
      <c r="AW19" s="44"/>
      <c r="AX19" s="45"/>
      <c r="AY19" s="46"/>
      <c r="AZ19" s="44"/>
      <c r="BA19" s="45"/>
      <c r="BB19" s="46"/>
      <c r="BC19" s="44"/>
      <c r="BD19" s="45"/>
      <c r="BE19" s="46"/>
      <c r="BF19" s="44"/>
      <c r="BG19" s="45"/>
      <c r="BH19" s="46"/>
      <c r="BI19" s="44"/>
      <c r="BJ19" s="45"/>
      <c r="BK19" s="46"/>
      <c r="BL19" s="44"/>
      <c r="BM19" s="45"/>
      <c r="BN19" s="46"/>
      <c r="BO19" s="44"/>
      <c r="BP19" s="45"/>
      <c r="BQ19" s="46"/>
      <c r="BR19" s="44"/>
      <c r="BS19" s="45"/>
      <c r="BT19" s="46"/>
      <c r="BU19" s="44"/>
      <c r="BV19" s="45"/>
      <c r="BW19" s="46"/>
      <c r="BX19" s="44"/>
      <c r="BY19" s="45"/>
      <c r="BZ19" s="46"/>
      <c r="CA19" s="44"/>
      <c r="CB19" s="45"/>
      <c r="CC19" s="46"/>
      <c r="CD19" s="44"/>
      <c r="CE19" s="45"/>
      <c r="CF19" s="46"/>
      <c r="CG19" s="44"/>
      <c r="CH19" s="45"/>
      <c r="CI19" s="46"/>
      <c r="CJ19" s="44"/>
      <c r="CK19" s="45"/>
      <c r="CL19" s="46"/>
      <c r="CM19" s="44"/>
      <c r="CN19" s="45"/>
      <c r="CO19" s="46"/>
      <c r="CP19" s="44"/>
      <c r="CQ19" s="45"/>
      <c r="CR19" s="46"/>
      <c r="CS19" s="44"/>
      <c r="CT19" s="45"/>
      <c r="CU19" s="46"/>
      <c r="CV19" s="44"/>
      <c r="CW19" s="45"/>
      <c r="CX19" s="46"/>
      <c r="CY19" s="44"/>
      <c r="CZ19" s="45"/>
      <c r="DA19" s="46"/>
      <c r="DB19" s="44"/>
      <c r="DC19" s="45"/>
      <c r="DD19" s="46"/>
      <c r="DE19" s="44"/>
      <c r="DF19" s="45"/>
      <c r="DG19" s="61"/>
      <c r="DH19" s="64">
        <f t="shared" si="0"/>
        <v>3</v>
      </c>
    </row>
    <row r="20" spans="2:112" x14ac:dyDescent="0.25">
      <c r="B20" s="3" t="s">
        <v>16</v>
      </c>
      <c r="C20" s="11">
        <v>1</v>
      </c>
      <c r="D20" s="16">
        <v>1</v>
      </c>
      <c r="E20" s="4">
        <v>1</v>
      </c>
      <c r="F20" s="17">
        <v>1</v>
      </c>
      <c r="G20" s="14"/>
      <c r="H20" s="2"/>
      <c r="I20" s="33"/>
      <c r="J20" s="39"/>
      <c r="K20" s="2"/>
      <c r="L20" s="33"/>
      <c r="M20" s="39"/>
      <c r="N20" s="2"/>
      <c r="O20" s="33"/>
      <c r="P20" s="39"/>
      <c r="Q20" s="2"/>
      <c r="R20" s="33"/>
      <c r="S20" s="39"/>
      <c r="T20" s="2"/>
      <c r="U20" s="33"/>
      <c r="V20" s="39">
        <v>1</v>
      </c>
      <c r="W20" s="2">
        <v>1</v>
      </c>
      <c r="X20" s="33">
        <v>1</v>
      </c>
      <c r="Y20" s="50"/>
      <c r="Z20" s="51"/>
      <c r="AA20" s="52"/>
      <c r="AB20" s="39"/>
      <c r="AC20" s="2"/>
      <c r="AD20" s="33"/>
      <c r="AE20" s="44"/>
      <c r="AF20" s="45"/>
      <c r="AG20" s="46"/>
      <c r="AH20" s="44"/>
      <c r="AI20" s="45"/>
      <c r="AJ20" s="46"/>
      <c r="AK20" s="44"/>
      <c r="AL20" s="45"/>
      <c r="AM20" s="46"/>
      <c r="AN20" s="44"/>
      <c r="AO20" s="45"/>
      <c r="AP20" s="46"/>
      <c r="AQ20" s="44"/>
      <c r="AR20" s="45"/>
      <c r="AS20" s="46"/>
      <c r="AT20" s="44"/>
      <c r="AU20" s="45"/>
      <c r="AV20" s="46"/>
      <c r="AW20" s="44"/>
      <c r="AX20" s="45"/>
      <c r="AY20" s="46"/>
      <c r="AZ20" s="44"/>
      <c r="BA20" s="45"/>
      <c r="BB20" s="46"/>
      <c r="BC20" s="44"/>
      <c r="BD20" s="45"/>
      <c r="BE20" s="46"/>
      <c r="BF20" s="44"/>
      <c r="BG20" s="45"/>
      <c r="BH20" s="46"/>
      <c r="BI20" s="44"/>
      <c r="BJ20" s="45"/>
      <c r="BK20" s="46"/>
      <c r="BL20" s="44"/>
      <c r="BM20" s="45"/>
      <c r="BN20" s="46"/>
      <c r="BO20" s="44"/>
      <c r="BP20" s="45"/>
      <c r="BQ20" s="46"/>
      <c r="BR20" s="44"/>
      <c r="BS20" s="45"/>
      <c r="BT20" s="46"/>
      <c r="BU20" s="44"/>
      <c r="BV20" s="45"/>
      <c r="BW20" s="46"/>
      <c r="BX20" s="44"/>
      <c r="BY20" s="45"/>
      <c r="BZ20" s="46"/>
      <c r="CA20" s="44"/>
      <c r="CB20" s="45"/>
      <c r="CC20" s="46"/>
      <c r="CD20" s="44"/>
      <c r="CE20" s="45"/>
      <c r="CF20" s="46"/>
      <c r="CG20" s="44"/>
      <c r="CH20" s="45"/>
      <c r="CI20" s="46"/>
      <c r="CJ20" s="44"/>
      <c r="CK20" s="45"/>
      <c r="CL20" s="46"/>
      <c r="CM20" s="44"/>
      <c r="CN20" s="45"/>
      <c r="CO20" s="46"/>
      <c r="CP20" s="44"/>
      <c r="CQ20" s="45"/>
      <c r="CR20" s="46"/>
      <c r="CS20" s="44"/>
      <c r="CT20" s="45"/>
      <c r="CU20" s="46"/>
      <c r="CV20" s="44"/>
      <c r="CW20" s="45"/>
      <c r="CX20" s="46"/>
      <c r="CY20" s="44"/>
      <c r="CZ20" s="45"/>
      <c r="DA20" s="46"/>
      <c r="DB20" s="44"/>
      <c r="DC20" s="45"/>
      <c r="DD20" s="46"/>
      <c r="DE20" s="44"/>
      <c r="DF20" s="45"/>
      <c r="DG20" s="61"/>
      <c r="DH20" s="64">
        <f t="shared" si="0"/>
        <v>3</v>
      </c>
    </row>
    <row r="21" spans="2:112" x14ac:dyDescent="0.25">
      <c r="B21" s="3" t="s">
        <v>17</v>
      </c>
      <c r="C21" s="11">
        <v>1</v>
      </c>
      <c r="D21" s="16">
        <v>1</v>
      </c>
      <c r="E21" s="4">
        <v>1</v>
      </c>
      <c r="F21" s="17">
        <v>1</v>
      </c>
      <c r="G21" s="14"/>
      <c r="H21" s="2"/>
      <c r="I21" s="33"/>
      <c r="J21" s="39"/>
      <c r="K21" s="2"/>
      <c r="L21" s="33"/>
      <c r="M21" s="39"/>
      <c r="N21" s="2"/>
      <c r="O21" s="33"/>
      <c r="P21" s="39"/>
      <c r="Q21" s="2"/>
      <c r="R21" s="33"/>
      <c r="S21" s="39"/>
      <c r="T21" s="2"/>
      <c r="U21" s="33"/>
      <c r="V21" s="39"/>
      <c r="W21" s="2"/>
      <c r="X21" s="33"/>
      <c r="Y21" s="50">
        <v>1</v>
      </c>
      <c r="Z21" s="51">
        <v>1</v>
      </c>
      <c r="AA21" s="52">
        <v>1</v>
      </c>
      <c r="AB21" s="39"/>
      <c r="AC21" s="2"/>
      <c r="AD21" s="33"/>
      <c r="AE21" s="44"/>
      <c r="AF21" s="45"/>
      <c r="AG21" s="46"/>
      <c r="AH21" s="44"/>
      <c r="AI21" s="45"/>
      <c r="AJ21" s="46"/>
      <c r="AK21" s="44"/>
      <c r="AL21" s="45"/>
      <c r="AM21" s="46"/>
      <c r="AN21" s="44"/>
      <c r="AO21" s="45"/>
      <c r="AP21" s="46"/>
      <c r="AQ21" s="44"/>
      <c r="AR21" s="45"/>
      <c r="AS21" s="46"/>
      <c r="AT21" s="44"/>
      <c r="AU21" s="45"/>
      <c r="AV21" s="46"/>
      <c r="AW21" s="44"/>
      <c r="AX21" s="45"/>
      <c r="AY21" s="46"/>
      <c r="AZ21" s="44"/>
      <c r="BA21" s="45"/>
      <c r="BB21" s="46"/>
      <c r="BC21" s="44"/>
      <c r="BD21" s="45"/>
      <c r="BE21" s="46"/>
      <c r="BF21" s="44"/>
      <c r="BG21" s="45"/>
      <c r="BH21" s="46"/>
      <c r="BI21" s="44"/>
      <c r="BJ21" s="45"/>
      <c r="BK21" s="46"/>
      <c r="BL21" s="44"/>
      <c r="BM21" s="45"/>
      <c r="BN21" s="46"/>
      <c r="BO21" s="44"/>
      <c r="BP21" s="45"/>
      <c r="BQ21" s="46"/>
      <c r="BR21" s="44"/>
      <c r="BS21" s="45"/>
      <c r="BT21" s="46"/>
      <c r="BU21" s="44"/>
      <c r="BV21" s="45"/>
      <c r="BW21" s="46"/>
      <c r="BX21" s="44"/>
      <c r="BY21" s="45"/>
      <c r="BZ21" s="46"/>
      <c r="CA21" s="44"/>
      <c r="CB21" s="45"/>
      <c r="CC21" s="46"/>
      <c r="CD21" s="44"/>
      <c r="CE21" s="45"/>
      <c r="CF21" s="46"/>
      <c r="CG21" s="44"/>
      <c r="CH21" s="45"/>
      <c r="CI21" s="46"/>
      <c r="CJ21" s="44"/>
      <c r="CK21" s="45"/>
      <c r="CL21" s="46"/>
      <c r="CM21" s="44"/>
      <c r="CN21" s="45"/>
      <c r="CO21" s="46"/>
      <c r="CP21" s="44"/>
      <c r="CQ21" s="45"/>
      <c r="CR21" s="46"/>
      <c r="CS21" s="44"/>
      <c r="CT21" s="45"/>
      <c r="CU21" s="46"/>
      <c r="CV21" s="44"/>
      <c r="CW21" s="45"/>
      <c r="CX21" s="46"/>
      <c r="CY21" s="44"/>
      <c r="CZ21" s="45"/>
      <c r="DA21" s="46"/>
      <c r="DB21" s="44"/>
      <c r="DC21" s="45"/>
      <c r="DD21" s="46"/>
      <c r="DE21" s="44"/>
      <c r="DF21" s="45"/>
      <c r="DG21" s="61"/>
      <c r="DH21" s="64">
        <f t="shared" si="0"/>
        <v>3</v>
      </c>
    </row>
    <row r="22" spans="2:112" x14ac:dyDescent="0.25">
      <c r="B22" s="3" t="s">
        <v>18</v>
      </c>
      <c r="C22" s="11">
        <v>1</v>
      </c>
      <c r="D22" s="16">
        <v>1</v>
      </c>
      <c r="E22" s="4">
        <v>1</v>
      </c>
      <c r="F22" s="17">
        <v>1</v>
      </c>
      <c r="G22" s="14"/>
      <c r="H22" s="2"/>
      <c r="I22" s="33"/>
      <c r="J22" s="39"/>
      <c r="K22" s="2"/>
      <c r="L22" s="33"/>
      <c r="M22" s="39"/>
      <c r="N22" s="2"/>
      <c r="O22" s="33"/>
      <c r="P22" s="39"/>
      <c r="Q22" s="2"/>
      <c r="R22" s="33"/>
      <c r="S22" s="39"/>
      <c r="T22" s="2"/>
      <c r="U22" s="33"/>
      <c r="V22" s="39"/>
      <c r="W22" s="2"/>
      <c r="X22" s="33"/>
      <c r="Y22" s="50">
        <v>1</v>
      </c>
      <c r="Z22" s="51">
        <v>1</v>
      </c>
      <c r="AA22" s="52">
        <v>1</v>
      </c>
      <c r="AB22" s="39"/>
      <c r="AC22" s="2"/>
      <c r="AD22" s="33"/>
      <c r="AE22" s="44"/>
      <c r="AF22" s="45"/>
      <c r="AG22" s="46"/>
      <c r="AH22" s="44"/>
      <c r="AI22" s="45"/>
      <c r="AJ22" s="46"/>
      <c r="AK22" s="44"/>
      <c r="AL22" s="45"/>
      <c r="AM22" s="46"/>
      <c r="AN22" s="44"/>
      <c r="AO22" s="45"/>
      <c r="AP22" s="46"/>
      <c r="AQ22" s="44"/>
      <c r="AR22" s="45"/>
      <c r="AS22" s="46"/>
      <c r="AT22" s="44"/>
      <c r="AU22" s="45"/>
      <c r="AV22" s="46"/>
      <c r="AW22" s="44"/>
      <c r="AX22" s="45"/>
      <c r="AY22" s="46"/>
      <c r="AZ22" s="44"/>
      <c r="BA22" s="45"/>
      <c r="BB22" s="46"/>
      <c r="BC22" s="44"/>
      <c r="BD22" s="45"/>
      <c r="BE22" s="46"/>
      <c r="BF22" s="44"/>
      <c r="BG22" s="45"/>
      <c r="BH22" s="46"/>
      <c r="BI22" s="44"/>
      <c r="BJ22" s="45"/>
      <c r="BK22" s="46"/>
      <c r="BL22" s="44"/>
      <c r="BM22" s="45"/>
      <c r="BN22" s="46"/>
      <c r="BO22" s="44"/>
      <c r="BP22" s="45"/>
      <c r="BQ22" s="46"/>
      <c r="BR22" s="44"/>
      <c r="BS22" s="45"/>
      <c r="BT22" s="46"/>
      <c r="BU22" s="44"/>
      <c r="BV22" s="45"/>
      <c r="BW22" s="46"/>
      <c r="BX22" s="44"/>
      <c r="BY22" s="45"/>
      <c r="BZ22" s="46"/>
      <c r="CA22" s="44"/>
      <c r="CB22" s="45"/>
      <c r="CC22" s="46"/>
      <c r="CD22" s="44"/>
      <c r="CE22" s="45"/>
      <c r="CF22" s="46"/>
      <c r="CG22" s="44"/>
      <c r="CH22" s="45"/>
      <c r="CI22" s="46"/>
      <c r="CJ22" s="44"/>
      <c r="CK22" s="45"/>
      <c r="CL22" s="46"/>
      <c r="CM22" s="44"/>
      <c r="CN22" s="45"/>
      <c r="CO22" s="46"/>
      <c r="CP22" s="44"/>
      <c r="CQ22" s="45"/>
      <c r="CR22" s="46"/>
      <c r="CS22" s="44"/>
      <c r="CT22" s="45"/>
      <c r="CU22" s="46"/>
      <c r="CV22" s="44"/>
      <c r="CW22" s="45"/>
      <c r="CX22" s="46"/>
      <c r="CY22" s="44"/>
      <c r="CZ22" s="45"/>
      <c r="DA22" s="46"/>
      <c r="DB22" s="44"/>
      <c r="DC22" s="45"/>
      <c r="DD22" s="46"/>
      <c r="DE22" s="44"/>
      <c r="DF22" s="45"/>
      <c r="DG22" s="61"/>
      <c r="DH22" s="64">
        <f t="shared" si="0"/>
        <v>3</v>
      </c>
    </row>
    <row r="23" spans="2:112" x14ac:dyDescent="0.25">
      <c r="B23" s="3" t="s">
        <v>19</v>
      </c>
      <c r="C23" s="11">
        <v>1</v>
      </c>
      <c r="D23" s="16">
        <v>1</v>
      </c>
      <c r="E23" s="4">
        <v>1</v>
      </c>
      <c r="F23" s="17">
        <v>1</v>
      </c>
      <c r="G23" s="14"/>
      <c r="H23" s="2"/>
      <c r="I23" s="33"/>
      <c r="J23" s="39"/>
      <c r="K23" s="2"/>
      <c r="L23" s="33"/>
      <c r="M23" s="39"/>
      <c r="N23" s="2"/>
      <c r="O23" s="33"/>
      <c r="P23" s="39"/>
      <c r="Q23" s="2"/>
      <c r="R23" s="33"/>
      <c r="S23" s="39"/>
      <c r="T23" s="2"/>
      <c r="U23" s="33"/>
      <c r="V23" s="39"/>
      <c r="W23" s="2"/>
      <c r="X23" s="33"/>
      <c r="Y23" s="50"/>
      <c r="Z23" s="51"/>
      <c r="AA23" s="52"/>
      <c r="AB23" s="39">
        <v>1</v>
      </c>
      <c r="AC23" s="2">
        <v>1</v>
      </c>
      <c r="AD23" s="33">
        <v>1</v>
      </c>
      <c r="AE23" s="44"/>
      <c r="AF23" s="45"/>
      <c r="AG23" s="46"/>
      <c r="AH23" s="44"/>
      <c r="AI23" s="45"/>
      <c r="AJ23" s="46"/>
      <c r="AK23" s="44"/>
      <c r="AL23" s="45"/>
      <c r="AM23" s="46"/>
      <c r="AN23" s="44"/>
      <c r="AO23" s="45"/>
      <c r="AP23" s="46"/>
      <c r="AQ23" s="44"/>
      <c r="AR23" s="45"/>
      <c r="AS23" s="46"/>
      <c r="AT23" s="44"/>
      <c r="AU23" s="45"/>
      <c r="AV23" s="46"/>
      <c r="AW23" s="44"/>
      <c r="AX23" s="45"/>
      <c r="AY23" s="46"/>
      <c r="AZ23" s="44"/>
      <c r="BA23" s="45"/>
      <c r="BB23" s="46"/>
      <c r="BC23" s="44"/>
      <c r="BD23" s="45"/>
      <c r="BE23" s="46"/>
      <c r="BF23" s="44"/>
      <c r="BG23" s="45"/>
      <c r="BH23" s="46"/>
      <c r="BI23" s="44"/>
      <c r="BJ23" s="45"/>
      <c r="BK23" s="46"/>
      <c r="BL23" s="44"/>
      <c r="BM23" s="45"/>
      <c r="BN23" s="46"/>
      <c r="BO23" s="44"/>
      <c r="BP23" s="45"/>
      <c r="BQ23" s="46"/>
      <c r="BR23" s="44"/>
      <c r="BS23" s="45"/>
      <c r="BT23" s="46"/>
      <c r="BU23" s="44"/>
      <c r="BV23" s="45"/>
      <c r="BW23" s="46"/>
      <c r="BX23" s="44"/>
      <c r="BY23" s="45"/>
      <c r="BZ23" s="46"/>
      <c r="CA23" s="44"/>
      <c r="CB23" s="45"/>
      <c r="CC23" s="46"/>
      <c r="CD23" s="44"/>
      <c r="CE23" s="45"/>
      <c r="CF23" s="46"/>
      <c r="CG23" s="44"/>
      <c r="CH23" s="45"/>
      <c r="CI23" s="46"/>
      <c r="CJ23" s="44"/>
      <c r="CK23" s="45"/>
      <c r="CL23" s="46"/>
      <c r="CM23" s="44"/>
      <c r="CN23" s="45"/>
      <c r="CO23" s="46"/>
      <c r="CP23" s="44"/>
      <c r="CQ23" s="45"/>
      <c r="CR23" s="46"/>
      <c r="CS23" s="44"/>
      <c r="CT23" s="45"/>
      <c r="CU23" s="46"/>
      <c r="CV23" s="44"/>
      <c r="CW23" s="45"/>
      <c r="CX23" s="46"/>
      <c r="CY23" s="44"/>
      <c r="CZ23" s="45"/>
      <c r="DA23" s="46"/>
      <c r="DB23" s="44"/>
      <c r="DC23" s="45"/>
      <c r="DD23" s="46"/>
      <c r="DE23" s="44"/>
      <c r="DF23" s="45"/>
      <c r="DG23" s="61"/>
      <c r="DH23" s="64">
        <f t="shared" si="0"/>
        <v>3</v>
      </c>
    </row>
    <row r="24" spans="2:112" ht="15.75" thickBot="1" x14ac:dyDescent="0.3">
      <c r="B24" s="5" t="s">
        <v>20</v>
      </c>
      <c r="C24" s="12">
        <v>1</v>
      </c>
      <c r="D24" s="18">
        <v>1</v>
      </c>
      <c r="E24" s="6">
        <v>1</v>
      </c>
      <c r="F24" s="19">
        <v>1</v>
      </c>
      <c r="G24" s="63"/>
      <c r="H24" s="41"/>
      <c r="I24" s="42"/>
      <c r="J24" s="43"/>
      <c r="K24" s="41"/>
      <c r="L24" s="42"/>
      <c r="M24" s="43"/>
      <c r="N24" s="41"/>
      <c r="O24" s="42"/>
      <c r="P24" s="43"/>
      <c r="Q24" s="41"/>
      <c r="R24" s="42"/>
      <c r="S24" s="43"/>
      <c r="T24" s="41"/>
      <c r="U24" s="42"/>
      <c r="V24" s="43"/>
      <c r="W24" s="41"/>
      <c r="X24" s="42"/>
      <c r="Y24" s="53"/>
      <c r="Z24" s="54"/>
      <c r="AA24" s="55"/>
      <c r="AB24" s="43">
        <v>1</v>
      </c>
      <c r="AC24" s="41">
        <v>1</v>
      </c>
      <c r="AD24" s="42">
        <v>1</v>
      </c>
      <c r="AE24" s="47"/>
      <c r="AF24" s="48"/>
      <c r="AG24" s="49"/>
      <c r="AH24" s="47"/>
      <c r="AI24" s="48"/>
      <c r="AJ24" s="49"/>
      <c r="AK24" s="47"/>
      <c r="AL24" s="48"/>
      <c r="AM24" s="49"/>
      <c r="AN24" s="47"/>
      <c r="AO24" s="48"/>
      <c r="AP24" s="49"/>
      <c r="AQ24" s="47"/>
      <c r="AR24" s="48"/>
      <c r="AS24" s="49"/>
      <c r="AT24" s="47"/>
      <c r="AU24" s="48"/>
      <c r="AV24" s="49"/>
      <c r="AW24" s="47"/>
      <c r="AX24" s="48"/>
      <c r="AY24" s="49"/>
      <c r="AZ24" s="47"/>
      <c r="BA24" s="48"/>
      <c r="BB24" s="49"/>
      <c r="BC24" s="47"/>
      <c r="BD24" s="48"/>
      <c r="BE24" s="49"/>
      <c r="BF24" s="47"/>
      <c r="BG24" s="48"/>
      <c r="BH24" s="49"/>
      <c r="BI24" s="47"/>
      <c r="BJ24" s="48"/>
      <c r="BK24" s="49"/>
      <c r="BL24" s="47"/>
      <c r="BM24" s="48"/>
      <c r="BN24" s="49"/>
      <c r="BO24" s="47"/>
      <c r="BP24" s="48"/>
      <c r="BQ24" s="49"/>
      <c r="BR24" s="47"/>
      <c r="BS24" s="48"/>
      <c r="BT24" s="49"/>
      <c r="BU24" s="47"/>
      <c r="BV24" s="48"/>
      <c r="BW24" s="49"/>
      <c r="BX24" s="47"/>
      <c r="BY24" s="48"/>
      <c r="BZ24" s="49"/>
      <c r="CA24" s="47"/>
      <c r="CB24" s="48"/>
      <c r="CC24" s="49"/>
      <c r="CD24" s="47"/>
      <c r="CE24" s="48"/>
      <c r="CF24" s="49"/>
      <c r="CG24" s="47"/>
      <c r="CH24" s="48"/>
      <c r="CI24" s="49"/>
      <c r="CJ24" s="47"/>
      <c r="CK24" s="48"/>
      <c r="CL24" s="49"/>
      <c r="CM24" s="47"/>
      <c r="CN24" s="48"/>
      <c r="CO24" s="49"/>
      <c r="CP24" s="47"/>
      <c r="CQ24" s="48"/>
      <c r="CR24" s="49"/>
      <c r="CS24" s="47"/>
      <c r="CT24" s="48"/>
      <c r="CU24" s="49"/>
      <c r="CV24" s="47"/>
      <c r="CW24" s="48"/>
      <c r="CX24" s="49"/>
      <c r="CY24" s="47"/>
      <c r="CZ24" s="48"/>
      <c r="DA24" s="49"/>
      <c r="DB24" s="47"/>
      <c r="DC24" s="48"/>
      <c r="DD24" s="49"/>
      <c r="DE24" s="47"/>
      <c r="DF24" s="48"/>
      <c r="DG24" s="62"/>
      <c r="DH24" s="64">
        <f t="shared" si="0"/>
        <v>3</v>
      </c>
    </row>
    <row r="25" spans="2:112" ht="16.5" thickTop="1" thickBot="1" x14ac:dyDescent="0.3">
      <c r="B25" s="7" t="s">
        <v>28</v>
      </c>
      <c r="C25" s="13">
        <f>SUM(C9:C24)</f>
        <v>16</v>
      </c>
      <c r="D25" s="20">
        <f t="shared" ref="D25:F25" si="1">SUM(D9:D24)</f>
        <v>16</v>
      </c>
      <c r="E25" s="7">
        <f t="shared" si="1"/>
        <v>16</v>
      </c>
      <c r="F25" s="21">
        <f t="shared" si="1"/>
        <v>16</v>
      </c>
      <c r="G25" s="29">
        <f t="shared" ref="G25" si="2">SUM(G9:G24)</f>
        <v>2</v>
      </c>
      <c r="H25" s="7">
        <f t="shared" ref="H25" si="3">SUM(H9:H24)</f>
        <v>2</v>
      </c>
      <c r="I25" s="7">
        <f t="shared" ref="I25" si="4">SUM(I9:I24)</f>
        <v>2</v>
      </c>
      <c r="J25" s="7">
        <f t="shared" ref="J25" si="5">SUM(J9:J24)</f>
        <v>2</v>
      </c>
      <c r="K25" s="7">
        <f t="shared" ref="K25" si="6">SUM(K9:K24)</f>
        <v>2</v>
      </c>
      <c r="L25" s="7">
        <f t="shared" ref="L25" si="7">SUM(L9:L24)</f>
        <v>2</v>
      </c>
      <c r="M25" s="7">
        <f t="shared" ref="M25" si="8">SUM(M9:M24)</f>
        <v>2</v>
      </c>
      <c r="N25" s="7">
        <f t="shared" ref="N25" si="9">SUM(N9:N24)</f>
        <v>2</v>
      </c>
      <c r="O25" s="7">
        <f t="shared" ref="O25" si="10">SUM(O9:O24)</f>
        <v>2</v>
      </c>
      <c r="P25" s="7">
        <f t="shared" ref="P25" si="11">SUM(P9:P24)</f>
        <v>2</v>
      </c>
      <c r="Q25" s="7">
        <f t="shared" ref="Q25" si="12">SUM(Q9:Q24)</f>
        <v>2</v>
      </c>
      <c r="R25" s="7">
        <f t="shared" ref="R25" si="13">SUM(R9:R24)</f>
        <v>2</v>
      </c>
      <c r="S25" s="7">
        <f t="shared" ref="S25" si="14">SUM(S9:S24)</f>
        <v>2</v>
      </c>
      <c r="T25" s="7">
        <f t="shared" ref="T25" si="15">SUM(T9:T24)</f>
        <v>2</v>
      </c>
      <c r="U25" s="7">
        <f t="shared" ref="U25" si="16">SUM(U9:U24)</f>
        <v>2</v>
      </c>
      <c r="V25" s="7">
        <f t="shared" ref="V25" si="17">SUM(V9:V24)</f>
        <v>2</v>
      </c>
      <c r="W25" s="7">
        <f t="shared" ref="W25" si="18">SUM(W9:W24)</f>
        <v>2</v>
      </c>
      <c r="X25" s="7">
        <f t="shared" ref="X25" si="19">SUM(X9:X24)</f>
        <v>2</v>
      </c>
      <c r="Y25" s="7">
        <f>SUM(Y9:Y24)</f>
        <v>2</v>
      </c>
      <c r="Z25" s="7">
        <f>SUM(Z9:Z24)</f>
        <v>2</v>
      </c>
      <c r="AA25" s="7">
        <f>SUM(AA9:AA24)</f>
        <v>2</v>
      </c>
      <c r="AB25" s="7">
        <f t="shared" ref="AB25" si="20">SUM(AB9:AB24)</f>
        <v>2</v>
      </c>
      <c r="AC25" s="7">
        <f t="shared" ref="AC25" si="21">SUM(AC9:AC24)</f>
        <v>2</v>
      </c>
      <c r="AD25" s="7">
        <f t="shared" ref="AD25" si="22">SUM(AD9:AD24)</f>
        <v>2</v>
      </c>
      <c r="AE25" s="7">
        <f t="shared" ref="AE25" si="23">SUM(AE9:AE24)</f>
        <v>0</v>
      </c>
      <c r="AF25" s="7">
        <f t="shared" ref="AF25" si="24">SUM(AF9:AF24)</f>
        <v>0</v>
      </c>
      <c r="AG25" s="7">
        <f t="shared" ref="AG25" si="25">SUM(AG9:AG24)</f>
        <v>0</v>
      </c>
      <c r="AH25" s="7">
        <f t="shared" ref="AH25" si="26">SUM(AH9:AH24)</f>
        <v>0</v>
      </c>
      <c r="AI25" s="7">
        <f t="shared" ref="AI25" si="27">SUM(AI9:AI24)</f>
        <v>0</v>
      </c>
      <c r="AJ25" s="7">
        <f t="shared" ref="AJ25" si="28">SUM(AJ9:AJ24)</f>
        <v>0</v>
      </c>
      <c r="AK25" s="7">
        <f t="shared" ref="AK25" si="29">SUM(AK9:AK24)</f>
        <v>0</v>
      </c>
      <c r="AL25" s="7">
        <f t="shared" ref="AL25" si="30">SUM(AL9:AL24)</f>
        <v>0</v>
      </c>
      <c r="AM25" s="7">
        <f t="shared" ref="AM25" si="31">SUM(AM9:AM24)</f>
        <v>0</v>
      </c>
      <c r="AN25" s="7">
        <f t="shared" ref="AN25" si="32">SUM(AN9:AN24)</f>
        <v>0</v>
      </c>
      <c r="AO25" s="7">
        <f t="shared" ref="AO25" si="33">SUM(AO9:AO24)</f>
        <v>0</v>
      </c>
      <c r="AP25" s="7">
        <f t="shared" ref="AP25" si="34">SUM(AP9:AP24)</f>
        <v>0</v>
      </c>
      <c r="AQ25" s="7">
        <f t="shared" ref="AQ25" si="35">SUM(AQ9:AQ24)</f>
        <v>0</v>
      </c>
      <c r="AR25" s="7">
        <f t="shared" ref="AR25" si="36">SUM(AR9:AR24)</f>
        <v>0</v>
      </c>
      <c r="AS25" s="7">
        <f t="shared" ref="AS25" si="37">SUM(AS9:AS24)</f>
        <v>0</v>
      </c>
      <c r="AT25" s="7">
        <f t="shared" ref="AT25" si="38">SUM(AT9:AT24)</f>
        <v>0</v>
      </c>
      <c r="AU25" s="7">
        <f t="shared" ref="AU25" si="39">SUM(AU9:AU24)</f>
        <v>0</v>
      </c>
      <c r="AV25" s="7">
        <f t="shared" ref="AV25" si="40">SUM(AV9:AV24)</f>
        <v>0</v>
      </c>
      <c r="AW25" s="7">
        <f t="shared" ref="AW25" si="41">SUM(AW9:AW24)</f>
        <v>0</v>
      </c>
      <c r="AX25" s="7">
        <f t="shared" ref="AX25" si="42">SUM(AX9:AX24)</f>
        <v>0</v>
      </c>
      <c r="AY25" s="7">
        <f t="shared" ref="AY25" si="43">SUM(AY9:AY24)</f>
        <v>0</v>
      </c>
      <c r="AZ25" s="7">
        <f t="shared" ref="AZ25" si="44">SUM(AZ9:AZ24)</f>
        <v>0</v>
      </c>
      <c r="BA25" s="7">
        <f t="shared" ref="BA25" si="45">SUM(BA9:BA24)</f>
        <v>0</v>
      </c>
      <c r="BB25" s="7">
        <f t="shared" ref="BB25" si="46">SUM(BB9:BB24)</f>
        <v>0</v>
      </c>
      <c r="BC25" s="7">
        <f t="shared" ref="BC25" si="47">SUM(BC9:BC24)</f>
        <v>0</v>
      </c>
      <c r="BD25" s="7">
        <f t="shared" ref="BD25" si="48">SUM(BD9:BD24)</f>
        <v>0</v>
      </c>
      <c r="BE25" s="7">
        <f t="shared" ref="BE25" si="49">SUM(BE9:BE24)</f>
        <v>0</v>
      </c>
      <c r="BF25" s="7">
        <f t="shared" ref="BF25" si="50">SUM(BF9:BF24)</f>
        <v>0</v>
      </c>
      <c r="BG25" s="7">
        <f t="shared" ref="BG25" si="51">SUM(BG9:BG24)</f>
        <v>0</v>
      </c>
      <c r="BH25" s="7">
        <f t="shared" ref="BH25" si="52">SUM(BH9:BH24)</f>
        <v>0</v>
      </c>
      <c r="BI25" s="7">
        <f t="shared" ref="BI25" si="53">SUM(BI9:BI24)</f>
        <v>0</v>
      </c>
      <c r="BJ25" s="7">
        <f t="shared" ref="BJ25" si="54">SUM(BJ9:BJ24)</f>
        <v>0</v>
      </c>
      <c r="BK25" s="7">
        <f t="shared" ref="BK25" si="55">SUM(BK9:BK24)</f>
        <v>0</v>
      </c>
      <c r="BL25" s="7">
        <f t="shared" ref="BL25" si="56">SUM(BL9:BL24)</f>
        <v>0</v>
      </c>
      <c r="BM25" s="7">
        <f t="shared" ref="BM25" si="57">SUM(BM9:BM24)</f>
        <v>0</v>
      </c>
      <c r="BN25" s="7">
        <f t="shared" ref="BN25" si="58">SUM(BN9:BN24)</f>
        <v>0</v>
      </c>
      <c r="BO25" s="7">
        <f t="shared" ref="BO25" si="59">SUM(BO9:BO24)</f>
        <v>0</v>
      </c>
      <c r="BP25" s="7">
        <f t="shared" ref="BP25" si="60">SUM(BP9:BP24)</f>
        <v>0</v>
      </c>
      <c r="BQ25" s="7">
        <f t="shared" ref="BQ25" si="61">SUM(BQ9:BQ24)</f>
        <v>0</v>
      </c>
      <c r="BR25" s="7">
        <f t="shared" ref="BR25" si="62">SUM(BR9:BR24)</f>
        <v>0</v>
      </c>
      <c r="BS25" s="7">
        <f t="shared" ref="BS25" si="63">SUM(BS9:BS24)</f>
        <v>0</v>
      </c>
      <c r="BT25" s="7">
        <f t="shared" ref="BT25" si="64">SUM(BT9:BT24)</f>
        <v>0</v>
      </c>
      <c r="BU25" s="7">
        <f t="shared" ref="BU25" si="65">SUM(BU9:BU24)</f>
        <v>0</v>
      </c>
      <c r="BV25" s="7">
        <f t="shared" ref="BV25" si="66">SUM(BV9:BV24)</f>
        <v>0</v>
      </c>
      <c r="BW25" s="7">
        <f t="shared" ref="BW25" si="67">SUM(BW9:BW24)</f>
        <v>0</v>
      </c>
      <c r="BX25" s="7">
        <f t="shared" ref="BX25" si="68">SUM(BX9:BX24)</f>
        <v>0</v>
      </c>
      <c r="BY25" s="7">
        <f t="shared" ref="BY25" si="69">SUM(BY9:BY24)</f>
        <v>0</v>
      </c>
      <c r="BZ25" s="7">
        <f t="shared" ref="BZ25" si="70">SUM(BZ9:BZ24)</f>
        <v>0</v>
      </c>
      <c r="CA25" s="7">
        <f t="shared" ref="CA25" si="71">SUM(CA9:CA24)</f>
        <v>0</v>
      </c>
      <c r="CB25" s="7">
        <f t="shared" ref="CB25" si="72">SUM(CB9:CB24)</f>
        <v>0</v>
      </c>
      <c r="CC25" s="7">
        <f t="shared" ref="CC25" si="73">SUM(CC9:CC24)</f>
        <v>0</v>
      </c>
      <c r="CD25" s="7">
        <f t="shared" ref="CD25" si="74">SUM(CD9:CD24)</f>
        <v>0</v>
      </c>
      <c r="CE25" s="7">
        <f t="shared" ref="CE25" si="75">SUM(CE9:CE24)</f>
        <v>0</v>
      </c>
      <c r="CF25" s="7">
        <f t="shared" ref="CF25" si="76">SUM(CF9:CF24)</f>
        <v>0</v>
      </c>
      <c r="CG25" s="7">
        <f t="shared" ref="CG25" si="77">SUM(CG9:CG24)</f>
        <v>0</v>
      </c>
      <c r="CH25" s="7">
        <f t="shared" ref="CH25" si="78">SUM(CH9:CH24)</f>
        <v>0</v>
      </c>
      <c r="CI25" s="7">
        <f t="shared" ref="CI25" si="79">SUM(CI9:CI24)</f>
        <v>0</v>
      </c>
      <c r="CJ25" s="7">
        <f t="shared" ref="CJ25" si="80">SUM(CJ9:CJ24)</f>
        <v>0</v>
      </c>
      <c r="CK25" s="7">
        <f t="shared" ref="CK25" si="81">SUM(CK9:CK24)</f>
        <v>0</v>
      </c>
      <c r="CL25" s="7">
        <f t="shared" ref="CL25" si="82">SUM(CL9:CL24)</f>
        <v>0</v>
      </c>
      <c r="CM25" s="7">
        <f t="shared" ref="CM25" si="83">SUM(CM9:CM24)</f>
        <v>0</v>
      </c>
      <c r="CN25" s="7">
        <f t="shared" ref="CN25" si="84">SUM(CN9:CN24)</f>
        <v>0</v>
      </c>
      <c r="CO25" s="7">
        <f t="shared" ref="CO25" si="85">SUM(CO9:CO24)</f>
        <v>0</v>
      </c>
      <c r="CP25" s="7">
        <f t="shared" ref="CP25" si="86">SUM(CP9:CP24)</f>
        <v>0</v>
      </c>
      <c r="CQ25" s="7">
        <f t="shared" ref="CQ25" si="87">SUM(CQ9:CQ24)</f>
        <v>0</v>
      </c>
      <c r="CR25" s="7">
        <f t="shared" ref="CR25" si="88">SUM(CR9:CR24)</f>
        <v>0</v>
      </c>
      <c r="CS25" s="7">
        <f t="shared" ref="CS25" si="89">SUM(CS9:CS24)</f>
        <v>0</v>
      </c>
      <c r="CT25" s="7">
        <f t="shared" ref="CT25" si="90">SUM(CT9:CT24)</f>
        <v>0</v>
      </c>
      <c r="CU25" s="7">
        <f t="shared" ref="CU25" si="91">SUM(CU9:CU24)</f>
        <v>0</v>
      </c>
      <c r="CV25" s="7">
        <f t="shared" ref="CV25" si="92">SUM(CV9:CV24)</f>
        <v>0</v>
      </c>
      <c r="CW25" s="7">
        <f t="shared" ref="CW25" si="93">SUM(CW9:CW24)</f>
        <v>0</v>
      </c>
      <c r="CX25" s="7">
        <f t="shared" ref="CX25" si="94">SUM(CX9:CX24)</f>
        <v>0</v>
      </c>
      <c r="CY25" s="7">
        <f t="shared" ref="CY25" si="95">SUM(CY9:CY24)</f>
        <v>0</v>
      </c>
      <c r="CZ25" s="7">
        <f t="shared" ref="CZ25" si="96">SUM(CZ9:CZ24)</f>
        <v>0</v>
      </c>
      <c r="DA25" s="7">
        <f t="shared" ref="DA25" si="97">SUM(DA9:DA24)</f>
        <v>0</v>
      </c>
      <c r="DB25" s="7">
        <f t="shared" ref="DB25" si="98">SUM(DB9:DB24)</f>
        <v>0</v>
      </c>
      <c r="DC25" s="7">
        <f t="shared" ref="DC25" si="99">SUM(DC9:DC24)</f>
        <v>0</v>
      </c>
      <c r="DD25" s="7">
        <f t="shared" ref="DD25" si="100">SUM(DD9:DD24)</f>
        <v>0</v>
      </c>
      <c r="DE25" s="7">
        <f t="shared" ref="DE25" si="101">SUM(DE9:DE24)</f>
        <v>0</v>
      </c>
      <c r="DF25" s="7">
        <f t="shared" ref="DF25" si="102">SUM(DF9:DF24)</f>
        <v>0</v>
      </c>
      <c r="DG25" s="13">
        <f t="shared" ref="DG25" si="103">SUM(DG9:DG24)</f>
        <v>0</v>
      </c>
      <c r="DH25" s="65">
        <f>SUM(DH9:DH24)</f>
        <v>48</v>
      </c>
    </row>
    <row r="26" spans="2:112" ht="15.75" thickTop="1" x14ac:dyDescent="0.25">
      <c r="B26" s="130" t="s">
        <v>65</v>
      </c>
      <c r="C26" s="131"/>
      <c r="D26" s="121" t="s">
        <v>30</v>
      </c>
      <c r="E26" s="122"/>
      <c r="F26" s="123"/>
      <c r="G26" s="146" t="s">
        <v>31</v>
      </c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  <c r="AJ26" s="147"/>
      <c r="AK26" s="147"/>
      <c r="AL26" s="147"/>
      <c r="AM26" s="147"/>
      <c r="AN26" s="147"/>
      <c r="AO26" s="147"/>
      <c r="AP26" s="147"/>
      <c r="AQ26" s="147"/>
      <c r="AR26" s="147"/>
      <c r="AS26" s="147"/>
      <c r="AT26" s="147"/>
      <c r="AU26" s="147"/>
      <c r="AV26" s="147"/>
      <c r="AW26" s="147"/>
      <c r="AX26" s="147"/>
      <c r="AY26" s="147"/>
      <c r="AZ26" s="147"/>
      <c r="BA26" s="147"/>
      <c r="BB26" s="147"/>
      <c r="BC26" s="147"/>
      <c r="BD26" s="147"/>
      <c r="BE26" s="147"/>
      <c r="BF26" s="147"/>
      <c r="BG26" s="147"/>
      <c r="BH26" s="147"/>
      <c r="BI26" s="147"/>
      <c r="BJ26" s="147"/>
      <c r="BK26" s="147"/>
      <c r="BL26" s="147"/>
      <c r="BM26" s="147"/>
      <c r="BN26" s="147"/>
      <c r="BO26" s="147"/>
      <c r="BP26" s="147"/>
      <c r="BQ26" s="147"/>
      <c r="BR26" s="147"/>
      <c r="BS26" s="147"/>
      <c r="BT26" s="147"/>
      <c r="BU26" s="147"/>
      <c r="BV26" s="147"/>
      <c r="BW26" s="147"/>
      <c r="BX26" s="147"/>
      <c r="BY26" s="147"/>
      <c r="BZ26" s="147"/>
      <c r="CA26" s="147"/>
      <c r="CB26" s="147"/>
      <c r="CC26" s="147"/>
      <c r="CD26" s="147"/>
      <c r="CE26" s="147"/>
      <c r="CF26" s="147"/>
      <c r="CG26" s="147"/>
      <c r="CH26" s="147"/>
      <c r="CI26" s="147"/>
      <c r="CJ26" s="147"/>
      <c r="CK26" s="147"/>
      <c r="CL26" s="147"/>
      <c r="CM26" s="147"/>
      <c r="CN26" s="147"/>
      <c r="CO26" s="147"/>
      <c r="CP26" s="147"/>
      <c r="CQ26" s="147"/>
      <c r="CR26" s="147"/>
      <c r="CS26" s="147"/>
      <c r="CT26" s="147"/>
      <c r="CU26" s="147"/>
      <c r="CV26" s="147"/>
      <c r="CW26" s="147"/>
      <c r="CX26" s="147"/>
      <c r="CY26" s="147"/>
      <c r="CZ26" s="147"/>
      <c r="DA26" s="147"/>
      <c r="DB26" s="147"/>
      <c r="DC26" s="147"/>
      <c r="DD26" s="147"/>
      <c r="DE26" s="147"/>
      <c r="DF26" s="147"/>
      <c r="DG26" s="148"/>
      <c r="DH26" s="157" t="s">
        <v>63</v>
      </c>
    </row>
    <row r="27" spans="2:112" x14ac:dyDescent="0.25">
      <c r="B27" s="132"/>
      <c r="C27" s="133"/>
      <c r="D27" s="124"/>
      <c r="E27" s="125"/>
      <c r="F27" s="126"/>
      <c r="G27" s="139">
        <v>46174</v>
      </c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0"/>
      <c r="AQ27" s="140"/>
      <c r="AR27" s="140"/>
      <c r="AS27" s="140"/>
      <c r="AT27" s="140"/>
      <c r="AU27" s="140"/>
      <c r="AV27" s="140"/>
      <c r="AW27" s="140"/>
      <c r="AX27" s="140"/>
      <c r="AY27" s="140"/>
      <c r="AZ27" s="140"/>
      <c r="BA27" s="140"/>
      <c r="BB27" s="140"/>
      <c r="BC27" s="140"/>
      <c r="BD27" s="140"/>
      <c r="BE27" s="140"/>
      <c r="BF27" s="140"/>
      <c r="BG27" s="140"/>
      <c r="BH27" s="140"/>
      <c r="BI27" s="140"/>
      <c r="BJ27" s="140"/>
      <c r="BK27" s="140"/>
      <c r="BL27" s="140"/>
      <c r="BM27" s="140"/>
      <c r="BN27" s="140"/>
      <c r="BO27" s="140"/>
      <c r="BP27" s="140"/>
      <c r="BQ27" s="140"/>
      <c r="BR27" s="140"/>
      <c r="BS27" s="140"/>
      <c r="BT27" s="140"/>
      <c r="BU27" s="140"/>
      <c r="BV27" s="140"/>
      <c r="BW27" s="140"/>
      <c r="BX27" s="140"/>
      <c r="BY27" s="140"/>
      <c r="BZ27" s="140"/>
      <c r="CA27" s="140"/>
      <c r="CB27" s="140"/>
      <c r="CC27" s="140"/>
      <c r="CD27" s="140"/>
      <c r="CE27" s="140"/>
      <c r="CF27" s="140"/>
      <c r="CG27" s="140"/>
      <c r="CH27" s="140"/>
      <c r="CI27" s="140"/>
      <c r="CJ27" s="140"/>
      <c r="CK27" s="140"/>
      <c r="CL27" s="140"/>
      <c r="CM27" s="140"/>
      <c r="CN27" s="140"/>
      <c r="CO27" s="140"/>
      <c r="CP27" s="140"/>
      <c r="CQ27" s="140"/>
      <c r="CR27" s="140"/>
      <c r="CS27" s="154">
        <v>46204</v>
      </c>
      <c r="CT27" s="155"/>
      <c r="CU27" s="155"/>
      <c r="CV27" s="155"/>
      <c r="CW27" s="155"/>
      <c r="CX27" s="155"/>
      <c r="CY27" s="155"/>
      <c r="CZ27" s="155"/>
      <c r="DA27" s="155"/>
      <c r="DB27" s="155"/>
      <c r="DC27" s="155"/>
      <c r="DD27" s="155"/>
      <c r="DE27" s="155"/>
      <c r="DF27" s="155"/>
      <c r="DG27" s="156"/>
      <c r="DH27" s="158"/>
    </row>
    <row r="28" spans="2:112" ht="35.25" customHeight="1" x14ac:dyDescent="0.25">
      <c r="B28" s="134"/>
      <c r="C28" s="135"/>
      <c r="D28" s="136" t="s">
        <v>21</v>
      </c>
      <c r="E28" s="137"/>
      <c r="F28" s="138"/>
      <c r="G28" s="127" t="s">
        <v>32</v>
      </c>
      <c r="H28" s="120"/>
      <c r="I28" s="120"/>
      <c r="J28" s="120" t="s">
        <v>33</v>
      </c>
      <c r="K28" s="120"/>
      <c r="L28" s="120"/>
      <c r="M28" s="120" t="s">
        <v>34</v>
      </c>
      <c r="N28" s="120"/>
      <c r="O28" s="120"/>
      <c r="P28" s="120" t="s">
        <v>35</v>
      </c>
      <c r="Q28" s="120"/>
      <c r="R28" s="120"/>
      <c r="S28" s="120" t="s">
        <v>36</v>
      </c>
      <c r="T28" s="120"/>
      <c r="U28" s="120"/>
      <c r="V28" s="120" t="s">
        <v>37</v>
      </c>
      <c r="W28" s="120"/>
      <c r="X28" s="120"/>
      <c r="Y28" s="120" t="s">
        <v>38</v>
      </c>
      <c r="Z28" s="120"/>
      <c r="AA28" s="120"/>
      <c r="AB28" s="120" t="s">
        <v>40</v>
      </c>
      <c r="AC28" s="120"/>
      <c r="AD28" s="120"/>
      <c r="AE28" s="120" t="s">
        <v>41</v>
      </c>
      <c r="AF28" s="120"/>
      <c r="AG28" s="120"/>
      <c r="AH28" s="120" t="s">
        <v>42</v>
      </c>
      <c r="AI28" s="120"/>
      <c r="AJ28" s="120"/>
      <c r="AK28" s="120" t="s">
        <v>43</v>
      </c>
      <c r="AL28" s="120"/>
      <c r="AM28" s="120"/>
      <c r="AN28" s="120" t="s">
        <v>44</v>
      </c>
      <c r="AO28" s="120"/>
      <c r="AP28" s="120"/>
      <c r="AQ28" s="120" t="s">
        <v>45</v>
      </c>
      <c r="AR28" s="120"/>
      <c r="AS28" s="120"/>
      <c r="AT28" s="120" t="s">
        <v>46</v>
      </c>
      <c r="AU28" s="120"/>
      <c r="AV28" s="120"/>
      <c r="AW28" s="120" t="s">
        <v>47</v>
      </c>
      <c r="AX28" s="120"/>
      <c r="AY28" s="120"/>
      <c r="AZ28" s="120" t="s">
        <v>48</v>
      </c>
      <c r="BA28" s="120"/>
      <c r="BB28" s="120"/>
      <c r="BC28" s="120" t="s">
        <v>49</v>
      </c>
      <c r="BD28" s="120"/>
      <c r="BE28" s="120"/>
      <c r="BF28" s="120" t="s">
        <v>50</v>
      </c>
      <c r="BG28" s="120"/>
      <c r="BH28" s="120"/>
      <c r="BI28" s="120" t="s">
        <v>51</v>
      </c>
      <c r="BJ28" s="120"/>
      <c r="BK28" s="120"/>
      <c r="BL28" s="120" t="s">
        <v>52</v>
      </c>
      <c r="BM28" s="120"/>
      <c r="BN28" s="120"/>
      <c r="BO28" s="120" t="s">
        <v>53</v>
      </c>
      <c r="BP28" s="120"/>
      <c r="BQ28" s="120"/>
      <c r="BR28" s="120" t="s">
        <v>54</v>
      </c>
      <c r="BS28" s="120"/>
      <c r="BT28" s="120"/>
      <c r="BU28" s="120" t="s">
        <v>55</v>
      </c>
      <c r="BV28" s="120"/>
      <c r="BW28" s="120"/>
      <c r="BX28" s="120" t="s">
        <v>56</v>
      </c>
      <c r="BY28" s="120"/>
      <c r="BZ28" s="120"/>
      <c r="CA28" s="120" t="s">
        <v>57</v>
      </c>
      <c r="CB28" s="120"/>
      <c r="CC28" s="120"/>
      <c r="CD28" s="120" t="s">
        <v>58</v>
      </c>
      <c r="CE28" s="120"/>
      <c r="CF28" s="120"/>
      <c r="CG28" s="120" t="s">
        <v>59</v>
      </c>
      <c r="CH28" s="120"/>
      <c r="CI28" s="120"/>
      <c r="CJ28" s="120" t="s">
        <v>60</v>
      </c>
      <c r="CK28" s="120"/>
      <c r="CL28" s="120"/>
      <c r="CM28" s="120" t="s">
        <v>61</v>
      </c>
      <c r="CN28" s="120"/>
      <c r="CO28" s="120"/>
      <c r="CP28" s="120" t="s">
        <v>62</v>
      </c>
      <c r="CQ28" s="120"/>
      <c r="CR28" s="120"/>
      <c r="CS28" s="120" t="s">
        <v>32</v>
      </c>
      <c r="CT28" s="120"/>
      <c r="CU28" s="120"/>
      <c r="CV28" s="120" t="s">
        <v>33</v>
      </c>
      <c r="CW28" s="120"/>
      <c r="CX28" s="120"/>
      <c r="CY28" s="120" t="s">
        <v>34</v>
      </c>
      <c r="CZ28" s="120"/>
      <c r="DA28" s="120"/>
      <c r="DB28" s="120" t="s">
        <v>35</v>
      </c>
      <c r="DC28" s="120"/>
      <c r="DD28" s="120"/>
      <c r="DE28" s="120" t="s">
        <v>36</v>
      </c>
      <c r="DF28" s="120"/>
      <c r="DG28" s="149"/>
      <c r="DH28" s="159"/>
    </row>
    <row r="29" spans="2:112" ht="30" x14ac:dyDescent="0.25">
      <c r="B29" s="2" t="s">
        <v>0</v>
      </c>
      <c r="C29" s="10" t="s">
        <v>1</v>
      </c>
      <c r="D29" s="26" t="s">
        <v>2</v>
      </c>
      <c r="E29" s="27" t="s">
        <v>3</v>
      </c>
      <c r="F29" s="28" t="s">
        <v>4</v>
      </c>
      <c r="G29" s="30" t="s">
        <v>2</v>
      </c>
      <c r="H29" s="25" t="s">
        <v>3</v>
      </c>
      <c r="I29" s="31" t="s">
        <v>4</v>
      </c>
      <c r="J29" s="32" t="s">
        <v>2</v>
      </c>
      <c r="K29" s="25" t="s">
        <v>3</v>
      </c>
      <c r="L29" s="31" t="s">
        <v>4</v>
      </c>
      <c r="M29" s="32" t="s">
        <v>2</v>
      </c>
      <c r="N29" s="25" t="s">
        <v>3</v>
      </c>
      <c r="O29" s="31" t="s">
        <v>4</v>
      </c>
      <c r="P29" s="32" t="s">
        <v>2</v>
      </c>
      <c r="Q29" s="25" t="s">
        <v>3</v>
      </c>
      <c r="R29" s="31" t="s">
        <v>4</v>
      </c>
      <c r="S29" s="32" t="s">
        <v>2</v>
      </c>
      <c r="T29" s="25" t="s">
        <v>3</v>
      </c>
      <c r="U29" s="31" t="s">
        <v>4</v>
      </c>
      <c r="V29" s="32" t="s">
        <v>2</v>
      </c>
      <c r="W29" s="25" t="s">
        <v>3</v>
      </c>
      <c r="X29" s="31" t="s">
        <v>4</v>
      </c>
      <c r="Y29" s="32" t="s">
        <v>2</v>
      </c>
      <c r="Z29" s="25" t="s">
        <v>3</v>
      </c>
      <c r="AA29" s="31" t="s">
        <v>4</v>
      </c>
      <c r="AB29" s="32" t="s">
        <v>2</v>
      </c>
      <c r="AC29" s="25" t="s">
        <v>3</v>
      </c>
      <c r="AD29" s="31" t="s">
        <v>4</v>
      </c>
      <c r="AE29" s="32" t="s">
        <v>2</v>
      </c>
      <c r="AF29" s="25" t="s">
        <v>3</v>
      </c>
      <c r="AG29" s="31" t="s">
        <v>4</v>
      </c>
      <c r="AH29" s="32" t="s">
        <v>2</v>
      </c>
      <c r="AI29" s="25" t="s">
        <v>3</v>
      </c>
      <c r="AJ29" s="31" t="s">
        <v>4</v>
      </c>
      <c r="AK29" s="32" t="s">
        <v>2</v>
      </c>
      <c r="AL29" s="25" t="s">
        <v>3</v>
      </c>
      <c r="AM29" s="31" t="s">
        <v>4</v>
      </c>
      <c r="AN29" s="32" t="s">
        <v>2</v>
      </c>
      <c r="AO29" s="25" t="s">
        <v>3</v>
      </c>
      <c r="AP29" s="31" t="s">
        <v>4</v>
      </c>
      <c r="AQ29" s="32" t="s">
        <v>2</v>
      </c>
      <c r="AR29" s="25" t="s">
        <v>3</v>
      </c>
      <c r="AS29" s="31" t="s">
        <v>4</v>
      </c>
      <c r="AT29" s="32" t="s">
        <v>2</v>
      </c>
      <c r="AU29" s="25" t="s">
        <v>3</v>
      </c>
      <c r="AV29" s="31" t="s">
        <v>4</v>
      </c>
      <c r="AW29" s="32" t="s">
        <v>2</v>
      </c>
      <c r="AX29" s="25" t="s">
        <v>3</v>
      </c>
      <c r="AY29" s="31" t="s">
        <v>4</v>
      </c>
      <c r="AZ29" s="32" t="s">
        <v>2</v>
      </c>
      <c r="BA29" s="25" t="s">
        <v>3</v>
      </c>
      <c r="BB29" s="31" t="s">
        <v>4</v>
      </c>
      <c r="BC29" s="32" t="s">
        <v>2</v>
      </c>
      <c r="BD29" s="25" t="s">
        <v>3</v>
      </c>
      <c r="BE29" s="31" t="s">
        <v>4</v>
      </c>
      <c r="BF29" s="32" t="s">
        <v>2</v>
      </c>
      <c r="BG29" s="25" t="s">
        <v>3</v>
      </c>
      <c r="BH29" s="31" t="s">
        <v>4</v>
      </c>
      <c r="BI29" s="32" t="s">
        <v>2</v>
      </c>
      <c r="BJ29" s="25" t="s">
        <v>3</v>
      </c>
      <c r="BK29" s="31" t="s">
        <v>4</v>
      </c>
      <c r="BL29" s="32" t="s">
        <v>2</v>
      </c>
      <c r="BM29" s="25" t="s">
        <v>3</v>
      </c>
      <c r="BN29" s="31" t="s">
        <v>4</v>
      </c>
      <c r="BO29" s="32" t="s">
        <v>2</v>
      </c>
      <c r="BP29" s="25" t="s">
        <v>3</v>
      </c>
      <c r="BQ29" s="31" t="s">
        <v>4</v>
      </c>
      <c r="BR29" s="32" t="s">
        <v>2</v>
      </c>
      <c r="BS29" s="25" t="s">
        <v>3</v>
      </c>
      <c r="BT29" s="31" t="s">
        <v>4</v>
      </c>
      <c r="BU29" s="32" t="s">
        <v>2</v>
      </c>
      <c r="BV29" s="25" t="s">
        <v>3</v>
      </c>
      <c r="BW29" s="31" t="s">
        <v>4</v>
      </c>
      <c r="BX29" s="32" t="s">
        <v>2</v>
      </c>
      <c r="BY29" s="25" t="s">
        <v>3</v>
      </c>
      <c r="BZ29" s="31" t="s">
        <v>4</v>
      </c>
      <c r="CA29" s="32" t="s">
        <v>2</v>
      </c>
      <c r="CB29" s="25" t="s">
        <v>3</v>
      </c>
      <c r="CC29" s="31" t="s">
        <v>4</v>
      </c>
      <c r="CD29" s="32" t="s">
        <v>2</v>
      </c>
      <c r="CE29" s="25" t="s">
        <v>3</v>
      </c>
      <c r="CF29" s="31" t="s">
        <v>4</v>
      </c>
      <c r="CG29" s="32" t="s">
        <v>2</v>
      </c>
      <c r="CH29" s="25" t="s">
        <v>3</v>
      </c>
      <c r="CI29" s="31" t="s">
        <v>4</v>
      </c>
      <c r="CJ29" s="32" t="s">
        <v>2</v>
      </c>
      <c r="CK29" s="25" t="s">
        <v>3</v>
      </c>
      <c r="CL29" s="31" t="s">
        <v>4</v>
      </c>
      <c r="CM29" s="32" t="s">
        <v>2</v>
      </c>
      <c r="CN29" s="25" t="s">
        <v>3</v>
      </c>
      <c r="CO29" s="31" t="s">
        <v>4</v>
      </c>
      <c r="CP29" s="32" t="s">
        <v>2</v>
      </c>
      <c r="CQ29" s="25" t="s">
        <v>3</v>
      </c>
      <c r="CR29" s="31" t="s">
        <v>4</v>
      </c>
      <c r="CS29" s="32" t="s">
        <v>2</v>
      </c>
      <c r="CT29" s="25" t="s">
        <v>3</v>
      </c>
      <c r="CU29" s="31" t="s">
        <v>4</v>
      </c>
      <c r="CV29" s="32" t="s">
        <v>2</v>
      </c>
      <c r="CW29" s="25" t="s">
        <v>3</v>
      </c>
      <c r="CX29" s="31" t="s">
        <v>4</v>
      </c>
      <c r="CY29" s="32" t="s">
        <v>2</v>
      </c>
      <c r="CZ29" s="25" t="s">
        <v>3</v>
      </c>
      <c r="DA29" s="31" t="s">
        <v>4</v>
      </c>
      <c r="DB29" s="32" t="s">
        <v>2</v>
      </c>
      <c r="DC29" s="25" t="s">
        <v>3</v>
      </c>
      <c r="DD29" s="31" t="s">
        <v>4</v>
      </c>
      <c r="DE29" s="32" t="s">
        <v>2</v>
      </c>
      <c r="DF29" s="25" t="s">
        <v>3</v>
      </c>
      <c r="DG29" s="60" t="s">
        <v>4</v>
      </c>
      <c r="DH29" s="64"/>
    </row>
    <row r="30" spans="2:112" x14ac:dyDescent="0.25">
      <c r="B30" s="3" t="s">
        <v>5</v>
      </c>
      <c r="C30" s="11">
        <v>2</v>
      </c>
      <c r="D30" s="16">
        <v>2</v>
      </c>
      <c r="E30" s="4">
        <v>2</v>
      </c>
      <c r="F30" s="17">
        <v>2</v>
      </c>
      <c r="G30" s="15">
        <v>2</v>
      </c>
      <c r="H30" s="2">
        <v>2</v>
      </c>
      <c r="I30" s="33">
        <v>2</v>
      </c>
      <c r="J30" s="39"/>
      <c r="K30" s="14"/>
      <c r="L30" s="40"/>
      <c r="M30" s="39"/>
      <c r="N30" s="14"/>
      <c r="O30" s="40"/>
      <c r="P30" s="39"/>
      <c r="Q30" s="14"/>
      <c r="R30" s="40"/>
      <c r="S30" s="39"/>
      <c r="T30" s="14"/>
      <c r="U30" s="40"/>
      <c r="V30" s="39"/>
      <c r="W30" s="14"/>
      <c r="X30" s="40"/>
      <c r="Y30" s="50"/>
      <c r="Z30" s="56"/>
      <c r="AA30" s="57"/>
      <c r="AB30" s="39"/>
      <c r="AC30" s="14"/>
      <c r="AD30" s="40"/>
      <c r="AE30" s="44"/>
      <c r="AF30" s="45"/>
      <c r="AG30" s="46"/>
      <c r="AH30" s="44"/>
      <c r="AI30" s="45"/>
      <c r="AJ30" s="46"/>
      <c r="AK30" s="44"/>
      <c r="AL30" s="45"/>
      <c r="AM30" s="46"/>
      <c r="AN30" s="44"/>
      <c r="AO30" s="45"/>
      <c r="AP30" s="46"/>
      <c r="AQ30" s="44"/>
      <c r="AR30" s="45"/>
      <c r="AS30" s="46"/>
      <c r="AT30" s="44"/>
      <c r="AU30" s="45"/>
      <c r="AV30" s="46"/>
      <c r="AW30" s="44"/>
      <c r="AX30" s="45"/>
      <c r="AY30" s="46"/>
      <c r="AZ30" s="44"/>
      <c r="BA30" s="45"/>
      <c r="BB30" s="46"/>
      <c r="BC30" s="44"/>
      <c r="BD30" s="45"/>
      <c r="BE30" s="46"/>
      <c r="BF30" s="44"/>
      <c r="BG30" s="45"/>
      <c r="BH30" s="46"/>
      <c r="BI30" s="44"/>
      <c r="BJ30" s="45"/>
      <c r="BK30" s="46"/>
      <c r="BL30" s="44"/>
      <c r="BM30" s="45"/>
      <c r="BN30" s="46"/>
      <c r="BO30" s="44"/>
      <c r="BP30" s="45"/>
      <c r="BQ30" s="46"/>
      <c r="BR30" s="44"/>
      <c r="BS30" s="45"/>
      <c r="BT30" s="46"/>
      <c r="BU30" s="44"/>
      <c r="BV30" s="45"/>
      <c r="BW30" s="46"/>
      <c r="BX30" s="44"/>
      <c r="BY30" s="45"/>
      <c r="BZ30" s="46"/>
      <c r="CA30" s="44"/>
      <c r="CB30" s="45"/>
      <c r="CC30" s="46"/>
      <c r="CD30" s="44"/>
      <c r="CE30" s="45"/>
      <c r="CF30" s="46"/>
      <c r="CG30" s="44"/>
      <c r="CH30" s="45"/>
      <c r="CI30" s="46"/>
      <c r="CJ30" s="44"/>
      <c r="CK30" s="45"/>
      <c r="CL30" s="46"/>
      <c r="CM30" s="44"/>
      <c r="CN30" s="45"/>
      <c r="CO30" s="46"/>
      <c r="CP30" s="44"/>
      <c r="CQ30" s="45"/>
      <c r="CR30" s="46"/>
      <c r="CS30" s="44"/>
      <c r="CT30" s="45"/>
      <c r="CU30" s="46"/>
      <c r="CV30" s="44"/>
      <c r="CW30" s="45"/>
      <c r="CX30" s="46"/>
      <c r="CY30" s="44"/>
      <c r="CZ30" s="45"/>
      <c r="DA30" s="46"/>
      <c r="DB30" s="44"/>
      <c r="DC30" s="45"/>
      <c r="DD30" s="46"/>
      <c r="DE30" s="44"/>
      <c r="DF30" s="45"/>
      <c r="DG30" s="61"/>
      <c r="DH30" s="64">
        <f>SUM(G30:DG30)</f>
        <v>6</v>
      </c>
    </row>
    <row r="31" spans="2:112" x14ac:dyDescent="0.25">
      <c r="B31" s="3" t="s">
        <v>6</v>
      </c>
      <c r="C31" s="11">
        <v>2</v>
      </c>
      <c r="D31" s="16">
        <v>2</v>
      </c>
      <c r="E31" s="4">
        <v>2</v>
      </c>
      <c r="F31" s="17">
        <v>2</v>
      </c>
      <c r="G31" s="15">
        <v>2</v>
      </c>
      <c r="H31" s="2">
        <v>2</v>
      </c>
      <c r="I31" s="33">
        <v>2</v>
      </c>
      <c r="J31" s="39"/>
      <c r="K31" s="14"/>
      <c r="L31" s="40"/>
      <c r="M31" s="39"/>
      <c r="N31" s="14"/>
      <c r="O31" s="40"/>
      <c r="P31" s="39"/>
      <c r="Q31" s="14"/>
      <c r="R31" s="40"/>
      <c r="S31" s="39"/>
      <c r="T31" s="14"/>
      <c r="U31" s="40"/>
      <c r="V31" s="39"/>
      <c r="W31" s="14"/>
      <c r="X31" s="40"/>
      <c r="Y31" s="50"/>
      <c r="Z31" s="56"/>
      <c r="AA31" s="57"/>
      <c r="AB31" s="39"/>
      <c r="AC31" s="14"/>
      <c r="AD31" s="40"/>
      <c r="AE31" s="44"/>
      <c r="AF31" s="45"/>
      <c r="AG31" s="46"/>
      <c r="AH31" s="44"/>
      <c r="AI31" s="45"/>
      <c r="AJ31" s="46"/>
      <c r="AK31" s="44"/>
      <c r="AL31" s="45"/>
      <c r="AM31" s="46"/>
      <c r="AN31" s="44"/>
      <c r="AO31" s="45"/>
      <c r="AP31" s="46"/>
      <c r="AQ31" s="44"/>
      <c r="AR31" s="45"/>
      <c r="AS31" s="46"/>
      <c r="AT31" s="44"/>
      <c r="AU31" s="45"/>
      <c r="AV31" s="46"/>
      <c r="AW31" s="44"/>
      <c r="AX31" s="45"/>
      <c r="AY31" s="46"/>
      <c r="AZ31" s="44"/>
      <c r="BA31" s="45"/>
      <c r="BB31" s="46"/>
      <c r="BC31" s="44"/>
      <c r="BD31" s="45"/>
      <c r="BE31" s="46"/>
      <c r="BF31" s="44"/>
      <c r="BG31" s="45"/>
      <c r="BH31" s="46"/>
      <c r="BI31" s="44"/>
      <c r="BJ31" s="45"/>
      <c r="BK31" s="46"/>
      <c r="BL31" s="44"/>
      <c r="BM31" s="45"/>
      <c r="BN31" s="46"/>
      <c r="BO31" s="44"/>
      <c r="BP31" s="45"/>
      <c r="BQ31" s="46"/>
      <c r="BR31" s="44"/>
      <c r="BS31" s="45"/>
      <c r="BT31" s="46"/>
      <c r="BU31" s="44"/>
      <c r="BV31" s="45"/>
      <c r="BW31" s="46"/>
      <c r="BX31" s="44"/>
      <c r="BY31" s="45"/>
      <c r="BZ31" s="46"/>
      <c r="CA31" s="44"/>
      <c r="CB31" s="45"/>
      <c r="CC31" s="46"/>
      <c r="CD31" s="44"/>
      <c r="CE31" s="45"/>
      <c r="CF31" s="46"/>
      <c r="CG31" s="44"/>
      <c r="CH31" s="45"/>
      <c r="CI31" s="46"/>
      <c r="CJ31" s="44"/>
      <c r="CK31" s="45"/>
      <c r="CL31" s="46"/>
      <c r="CM31" s="44"/>
      <c r="CN31" s="45"/>
      <c r="CO31" s="46"/>
      <c r="CP31" s="44"/>
      <c r="CQ31" s="45"/>
      <c r="CR31" s="46"/>
      <c r="CS31" s="44"/>
      <c r="CT31" s="45"/>
      <c r="CU31" s="46"/>
      <c r="CV31" s="44"/>
      <c r="CW31" s="45"/>
      <c r="CX31" s="46"/>
      <c r="CY31" s="44"/>
      <c r="CZ31" s="45"/>
      <c r="DA31" s="46"/>
      <c r="DB31" s="44"/>
      <c r="DC31" s="45"/>
      <c r="DD31" s="46"/>
      <c r="DE31" s="44"/>
      <c r="DF31" s="45"/>
      <c r="DG31" s="61"/>
      <c r="DH31" s="64">
        <f t="shared" ref="DH31:DH45" si="104">SUM(G31:DG31)</f>
        <v>6</v>
      </c>
    </row>
    <row r="32" spans="2:112" x14ac:dyDescent="0.25">
      <c r="B32" s="3" t="s">
        <v>7</v>
      </c>
      <c r="C32" s="11">
        <v>2</v>
      </c>
      <c r="D32" s="16">
        <v>2</v>
      </c>
      <c r="E32" s="4">
        <v>2</v>
      </c>
      <c r="F32" s="17">
        <v>2</v>
      </c>
      <c r="G32" s="15"/>
      <c r="H32" s="2"/>
      <c r="I32" s="33"/>
      <c r="J32" s="39">
        <v>2</v>
      </c>
      <c r="K32" s="2">
        <v>2</v>
      </c>
      <c r="L32" s="33">
        <v>2</v>
      </c>
      <c r="M32" s="39"/>
      <c r="N32" s="14"/>
      <c r="O32" s="40"/>
      <c r="P32" s="39"/>
      <c r="Q32" s="14"/>
      <c r="R32" s="40"/>
      <c r="S32" s="39"/>
      <c r="T32" s="14"/>
      <c r="U32" s="40"/>
      <c r="V32" s="39"/>
      <c r="W32" s="14"/>
      <c r="X32" s="40"/>
      <c r="Y32" s="50"/>
      <c r="Z32" s="56"/>
      <c r="AA32" s="57"/>
      <c r="AB32" s="39"/>
      <c r="AC32" s="14"/>
      <c r="AD32" s="40"/>
      <c r="AE32" s="44"/>
      <c r="AF32" s="45"/>
      <c r="AG32" s="46"/>
      <c r="AH32" s="44"/>
      <c r="AI32" s="45"/>
      <c r="AJ32" s="46"/>
      <c r="AK32" s="44"/>
      <c r="AL32" s="45"/>
      <c r="AM32" s="46"/>
      <c r="AN32" s="44"/>
      <c r="AO32" s="45"/>
      <c r="AP32" s="46"/>
      <c r="AQ32" s="44"/>
      <c r="AR32" s="45"/>
      <c r="AS32" s="46"/>
      <c r="AT32" s="44"/>
      <c r="AU32" s="45"/>
      <c r="AV32" s="46"/>
      <c r="AW32" s="44"/>
      <c r="AX32" s="45"/>
      <c r="AY32" s="46"/>
      <c r="AZ32" s="44"/>
      <c r="BA32" s="45"/>
      <c r="BB32" s="46"/>
      <c r="BC32" s="44"/>
      <c r="BD32" s="45"/>
      <c r="BE32" s="46"/>
      <c r="BF32" s="44"/>
      <c r="BG32" s="45"/>
      <c r="BH32" s="46"/>
      <c r="BI32" s="44"/>
      <c r="BJ32" s="45"/>
      <c r="BK32" s="46"/>
      <c r="BL32" s="44"/>
      <c r="BM32" s="45"/>
      <c r="BN32" s="46"/>
      <c r="BO32" s="44"/>
      <c r="BP32" s="45"/>
      <c r="BQ32" s="46"/>
      <c r="BR32" s="44"/>
      <c r="BS32" s="45"/>
      <c r="BT32" s="46"/>
      <c r="BU32" s="44"/>
      <c r="BV32" s="45"/>
      <c r="BW32" s="46"/>
      <c r="BX32" s="44"/>
      <c r="BY32" s="45"/>
      <c r="BZ32" s="46"/>
      <c r="CA32" s="44"/>
      <c r="CB32" s="45"/>
      <c r="CC32" s="46"/>
      <c r="CD32" s="44"/>
      <c r="CE32" s="45"/>
      <c r="CF32" s="46"/>
      <c r="CG32" s="44"/>
      <c r="CH32" s="45"/>
      <c r="CI32" s="46"/>
      <c r="CJ32" s="44"/>
      <c r="CK32" s="45"/>
      <c r="CL32" s="46"/>
      <c r="CM32" s="44"/>
      <c r="CN32" s="45"/>
      <c r="CO32" s="46"/>
      <c r="CP32" s="44"/>
      <c r="CQ32" s="45"/>
      <c r="CR32" s="46"/>
      <c r="CS32" s="44"/>
      <c r="CT32" s="45"/>
      <c r="CU32" s="46"/>
      <c r="CV32" s="44"/>
      <c r="CW32" s="45"/>
      <c r="CX32" s="46"/>
      <c r="CY32" s="44"/>
      <c r="CZ32" s="45"/>
      <c r="DA32" s="46"/>
      <c r="DB32" s="44"/>
      <c r="DC32" s="45"/>
      <c r="DD32" s="46"/>
      <c r="DE32" s="44"/>
      <c r="DF32" s="45"/>
      <c r="DG32" s="61"/>
      <c r="DH32" s="64">
        <f t="shared" si="104"/>
        <v>6</v>
      </c>
    </row>
    <row r="33" spans="2:112" x14ac:dyDescent="0.25">
      <c r="B33" s="3" t="s">
        <v>8</v>
      </c>
      <c r="C33" s="11">
        <v>2</v>
      </c>
      <c r="D33" s="16">
        <v>2</v>
      </c>
      <c r="E33" s="4">
        <v>2</v>
      </c>
      <c r="F33" s="17">
        <v>2</v>
      </c>
      <c r="G33" s="15"/>
      <c r="H33" s="2"/>
      <c r="I33" s="33"/>
      <c r="J33" s="39">
        <v>2</v>
      </c>
      <c r="K33" s="2">
        <v>2</v>
      </c>
      <c r="L33" s="33">
        <v>2</v>
      </c>
      <c r="M33" s="39"/>
      <c r="N33" s="14"/>
      <c r="O33" s="40"/>
      <c r="P33" s="39"/>
      <c r="Q33" s="14"/>
      <c r="R33" s="40"/>
      <c r="S33" s="39"/>
      <c r="T33" s="14"/>
      <c r="U33" s="40"/>
      <c r="V33" s="39"/>
      <c r="W33" s="14"/>
      <c r="X33" s="40"/>
      <c r="Y33" s="50"/>
      <c r="Z33" s="56"/>
      <c r="AA33" s="57"/>
      <c r="AB33" s="39"/>
      <c r="AC33" s="14"/>
      <c r="AD33" s="40"/>
      <c r="AE33" s="44"/>
      <c r="AF33" s="45"/>
      <c r="AG33" s="46"/>
      <c r="AH33" s="44"/>
      <c r="AI33" s="45"/>
      <c r="AJ33" s="46"/>
      <c r="AK33" s="44"/>
      <c r="AL33" s="45"/>
      <c r="AM33" s="46"/>
      <c r="AN33" s="44"/>
      <c r="AO33" s="45"/>
      <c r="AP33" s="46"/>
      <c r="AQ33" s="44"/>
      <c r="AR33" s="45"/>
      <c r="AS33" s="46"/>
      <c r="AT33" s="44"/>
      <c r="AU33" s="45"/>
      <c r="AV33" s="46"/>
      <c r="AW33" s="44"/>
      <c r="AX33" s="45"/>
      <c r="AY33" s="46"/>
      <c r="AZ33" s="44"/>
      <c r="BA33" s="45"/>
      <c r="BB33" s="46"/>
      <c r="BC33" s="44"/>
      <c r="BD33" s="45"/>
      <c r="BE33" s="46"/>
      <c r="BF33" s="44"/>
      <c r="BG33" s="45"/>
      <c r="BH33" s="46"/>
      <c r="BI33" s="44"/>
      <c r="BJ33" s="45"/>
      <c r="BK33" s="46"/>
      <c r="BL33" s="44"/>
      <c r="BM33" s="45"/>
      <c r="BN33" s="46"/>
      <c r="BO33" s="44"/>
      <c r="BP33" s="45"/>
      <c r="BQ33" s="46"/>
      <c r="BR33" s="44"/>
      <c r="BS33" s="45"/>
      <c r="BT33" s="46"/>
      <c r="BU33" s="44"/>
      <c r="BV33" s="45"/>
      <c r="BW33" s="46"/>
      <c r="BX33" s="44"/>
      <c r="BY33" s="45"/>
      <c r="BZ33" s="46"/>
      <c r="CA33" s="44"/>
      <c r="CB33" s="45"/>
      <c r="CC33" s="46"/>
      <c r="CD33" s="44"/>
      <c r="CE33" s="45"/>
      <c r="CF33" s="46"/>
      <c r="CG33" s="44"/>
      <c r="CH33" s="45"/>
      <c r="CI33" s="46"/>
      <c r="CJ33" s="44"/>
      <c r="CK33" s="45"/>
      <c r="CL33" s="46"/>
      <c r="CM33" s="44"/>
      <c r="CN33" s="45"/>
      <c r="CO33" s="46"/>
      <c r="CP33" s="44"/>
      <c r="CQ33" s="45"/>
      <c r="CR33" s="46"/>
      <c r="CS33" s="44"/>
      <c r="CT33" s="45"/>
      <c r="CU33" s="46"/>
      <c r="CV33" s="44"/>
      <c r="CW33" s="45"/>
      <c r="CX33" s="46"/>
      <c r="CY33" s="44"/>
      <c r="CZ33" s="45"/>
      <c r="DA33" s="46"/>
      <c r="DB33" s="44"/>
      <c r="DC33" s="45"/>
      <c r="DD33" s="46"/>
      <c r="DE33" s="44"/>
      <c r="DF33" s="45"/>
      <c r="DG33" s="61"/>
      <c r="DH33" s="64">
        <f t="shared" si="104"/>
        <v>6</v>
      </c>
    </row>
    <row r="34" spans="2:112" x14ac:dyDescent="0.25">
      <c r="B34" s="3" t="s">
        <v>9</v>
      </c>
      <c r="C34" s="11">
        <v>2</v>
      </c>
      <c r="D34" s="16">
        <v>2</v>
      </c>
      <c r="E34" s="4">
        <v>2</v>
      </c>
      <c r="F34" s="17">
        <v>2</v>
      </c>
      <c r="G34" s="15"/>
      <c r="H34" s="2"/>
      <c r="I34" s="33"/>
      <c r="J34" s="39"/>
      <c r="K34" s="14"/>
      <c r="L34" s="40"/>
      <c r="M34" s="39">
        <v>2</v>
      </c>
      <c r="N34" s="14">
        <v>2</v>
      </c>
      <c r="O34" s="40">
        <v>2</v>
      </c>
      <c r="P34" s="39"/>
      <c r="Q34" s="14"/>
      <c r="R34" s="40"/>
      <c r="S34" s="39"/>
      <c r="T34" s="14"/>
      <c r="U34" s="40"/>
      <c r="V34" s="39"/>
      <c r="W34" s="14"/>
      <c r="X34" s="40"/>
      <c r="Y34" s="50"/>
      <c r="Z34" s="56"/>
      <c r="AA34" s="57"/>
      <c r="AB34" s="39"/>
      <c r="AC34" s="14"/>
      <c r="AD34" s="40"/>
      <c r="AE34" s="44"/>
      <c r="AF34" s="45"/>
      <c r="AG34" s="46"/>
      <c r="AH34" s="44"/>
      <c r="AI34" s="45"/>
      <c r="AJ34" s="46"/>
      <c r="AK34" s="44"/>
      <c r="AL34" s="45"/>
      <c r="AM34" s="46"/>
      <c r="AN34" s="44"/>
      <c r="AO34" s="45"/>
      <c r="AP34" s="46"/>
      <c r="AQ34" s="44"/>
      <c r="AR34" s="45"/>
      <c r="AS34" s="46"/>
      <c r="AT34" s="44"/>
      <c r="AU34" s="45"/>
      <c r="AV34" s="46"/>
      <c r="AW34" s="44"/>
      <c r="AX34" s="45"/>
      <c r="AY34" s="46"/>
      <c r="AZ34" s="44"/>
      <c r="BA34" s="45"/>
      <c r="BB34" s="46"/>
      <c r="BC34" s="44"/>
      <c r="BD34" s="45"/>
      <c r="BE34" s="46"/>
      <c r="BF34" s="44"/>
      <c r="BG34" s="45"/>
      <c r="BH34" s="46"/>
      <c r="BI34" s="44"/>
      <c r="BJ34" s="45"/>
      <c r="BK34" s="46"/>
      <c r="BL34" s="44"/>
      <c r="BM34" s="45"/>
      <c r="BN34" s="46"/>
      <c r="BO34" s="44"/>
      <c r="BP34" s="45"/>
      <c r="BQ34" s="46"/>
      <c r="BR34" s="44"/>
      <c r="BS34" s="45"/>
      <c r="BT34" s="46"/>
      <c r="BU34" s="44"/>
      <c r="BV34" s="45"/>
      <c r="BW34" s="46"/>
      <c r="BX34" s="44"/>
      <c r="BY34" s="45"/>
      <c r="BZ34" s="46"/>
      <c r="CA34" s="44"/>
      <c r="CB34" s="45"/>
      <c r="CC34" s="46"/>
      <c r="CD34" s="44"/>
      <c r="CE34" s="45"/>
      <c r="CF34" s="46"/>
      <c r="CG34" s="44"/>
      <c r="CH34" s="45"/>
      <c r="CI34" s="46"/>
      <c r="CJ34" s="44"/>
      <c r="CK34" s="45"/>
      <c r="CL34" s="46"/>
      <c r="CM34" s="44"/>
      <c r="CN34" s="45"/>
      <c r="CO34" s="46"/>
      <c r="CP34" s="44"/>
      <c r="CQ34" s="45"/>
      <c r="CR34" s="46"/>
      <c r="CS34" s="44"/>
      <c r="CT34" s="45"/>
      <c r="CU34" s="46"/>
      <c r="CV34" s="44"/>
      <c r="CW34" s="45"/>
      <c r="CX34" s="46"/>
      <c r="CY34" s="44"/>
      <c r="CZ34" s="45"/>
      <c r="DA34" s="46"/>
      <c r="DB34" s="44"/>
      <c r="DC34" s="45"/>
      <c r="DD34" s="46"/>
      <c r="DE34" s="44"/>
      <c r="DF34" s="45"/>
      <c r="DG34" s="61"/>
      <c r="DH34" s="64">
        <f t="shared" si="104"/>
        <v>6</v>
      </c>
    </row>
    <row r="35" spans="2:112" x14ac:dyDescent="0.25">
      <c r="B35" s="3" t="s">
        <v>10</v>
      </c>
      <c r="C35" s="11">
        <v>2</v>
      </c>
      <c r="D35" s="16">
        <v>2</v>
      </c>
      <c r="E35" s="4">
        <v>2</v>
      </c>
      <c r="F35" s="17">
        <v>2</v>
      </c>
      <c r="G35" s="15"/>
      <c r="H35" s="2"/>
      <c r="I35" s="33"/>
      <c r="J35" s="39"/>
      <c r="K35" s="14"/>
      <c r="L35" s="40"/>
      <c r="M35" s="39">
        <v>2</v>
      </c>
      <c r="N35" s="14">
        <v>2</v>
      </c>
      <c r="O35" s="40">
        <v>2</v>
      </c>
      <c r="P35" s="39"/>
      <c r="Q35" s="14"/>
      <c r="R35" s="40"/>
      <c r="S35" s="39"/>
      <c r="T35" s="14"/>
      <c r="U35" s="40"/>
      <c r="V35" s="39"/>
      <c r="W35" s="14"/>
      <c r="X35" s="40"/>
      <c r="Y35" s="50"/>
      <c r="Z35" s="56"/>
      <c r="AA35" s="57"/>
      <c r="AB35" s="39"/>
      <c r="AC35" s="14"/>
      <c r="AD35" s="40"/>
      <c r="AE35" s="44"/>
      <c r="AF35" s="45"/>
      <c r="AG35" s="46"/>
      <c r="AH35" s="44"/>
      <c r="AI35" s="45"/>
      <c r="AJ35" s="46"/>
      <c r="AK35" s="44"/>
      <c r="AL35" s="45"/>
      <c r="AM35" s="46"/>
      <c r="AN35" s="44"/>
      <c r="AO35" s="45"/>
      <c r="AP35" s="46"/>
      <c r="AQ35" s="44"/>
      <c r="AR35" s="45"/>
      <c r="AS35" s="46"/>
      <c r="AT35" s="44"/>
      <c r="AU35" s="45"/>
      <c r="AV35" s="46"/>
      <c r="AW35" s="44"/>
      <c r="AX35" s="45"/>
      <c r="AY35" s="46"/>
      <c r="AZ35" s="44"/>
      <c r="BA35" s="45"/>
      <c r="BB35" s="46"/>
      <c r="BC35" s="44"/>
      <c r="BD35" s="45"/>
      <c r="BE35" s="46"/>
      <c r="BF35" s="44"/>
      <c r="BG35" s="45"/>
      <c r="BH35" s="46"/>
      <c r="BI35" s="44"/>
      <c r="BJ35" s="45"/>
      <c r="BK35" s="46"/>
      <c r="BL35" s="44"/>
      <c r="BM35" s="45"/>
      <c r="BN35" s="46"/>
      <c r="BO35" s="44"/>
      <c r="BP35" s="45"/>
      <c r="BQ35" s="46"/>
      <c r="BR35" s="44"/>
      <c r="BS35" s="45"/>
      <c r="BT35" s="46"/>
      <c r="BU35" s="44"/>
      <c r="BV35" s="45"/>
      <c r="BW35" s="46"/>
      <c r="BX35" s="44"/>
      <c r="BY35" s="45"/>
      <c r="BZ35" s="46"/>
      <c r="CA35" s="44"/>
      <c r="CB35" s="45"/>
      <c r="CC35" s="46"/>
      <c r="CD35" s="44"/>
      <c r="CE35" s="45"/>
      <c r="CF35" s="46"/>
      <c r="CG35" s="44"/>
      <c r="CH35" s="45"/>
      <c r="CI35" s="46"/>
      <c r="CJ35" s="44"/>
      <c r="CK35" s="45"/>
      <c r="CL35" s="46"/>
      <c r="CM35" s="44"/>
      <c r="CN35" s="45"/>
      <c r="CO35" s="46"/>
      <c r="CP35" s="44"/>
      <c r="CQ35" s="45"/>
      <c r="CR35" s="46"/>
      <c r="CS35" s="44"/>
      <c r="CT35" s="45"/>
      <c r="CU35" s="46"/>
      <c r="CV35" s="44"/>
      <c r="CW35" s="45"/>
      <c r="CX35" s="46"/>
      <c r="CY35" s="44"/>
      <c r="CZ35" s="45"/>
      <c r="DA35" s="46"/>
      <c r="DB35" s="44"/>
      <c r="DC35" s="45"/>
      <c r="DD35" s="46"/>
      <c r="DE35" s="44"/>
      <c r="DF35" s="45"/>
      <c r="DG35" s="61"/>
      <c r="DH35" s="64">
        <f t="shared" si="104"/>
        <v>6</v>
      </c>
    </row>
    <row r="36" spans="2:112" x14ac:dyDescent="0.25">
      <c r="B36" s="3" t="s">
        <v>11</v>
      </c>
      <c r="C36" s="11">
        <v>2</v>
      </c>
      <c r="D36" s="16">
        <v>2</v>
      </c>
      <c r="E36" s="4">
        <v>2</v>
      </c>
      <c r="F36" s="17">
        <v>2</v>
      </c>
      <c r="G36" s="15"/>
      <c r="H36" s="2"/>
      <c r="I36" s="33"/>
      <c r="J36" s="39"/>
      <c r="K36" s="14"/>
      <c r="L36" s="40"/>
      <c r="M36" s="39"/>
      <c r="N36" s="14"/>
      <c r="O36" s="40"/>
      <c r="P36" s="39">
        <v>2</v>
      </c>
      <c r="Q36" s="14">
        <v>2</v>
      </c>
      <c r="R36" s="40">
        <v>2</v>
      </c>
      <c r="S36" s="39"/>
      <c r="T36" s="14"/>
      <c r="U36" s="40"/>
      <c r="V36" s="39"/>
      <c r="W36" s="14"/>
      <c r="X36" s="40"/>
      <c r="Y36" s="50"/>
      <c r="Z36" s="56"/>
      <c r="AA36" s="57"/>
      <c r="AB36" s="39"/>
      <c r="AC36" s="14"/>
      <c r="AD36" s="40"/>
      <c r="AE36" s="44"/>
      <c r="AF36" s="45"/>
      <c r="AG36" s="46"/>
      <c r="AH36" s="44"/>
      <c r="AI36" s="45"/>
      <c r="AJ36" s="46"/>
      <c r="AK36" s="44"/>
      <c r="AL36" s="45"/>
      <c r="AM36" s="46"/>
      <c r="AN36" s="44"/>
      <c r="AO36" s="45"/>
      <c r="AP36" s="46"/>
      <c r="AQ36" s="44"/>
      <c r="AR36" s="45"/>
      <c r="AS36" s="46"/>
      <c r="AT36" s="44"/>
      <c r="AU36" s="45"/>
      <c r="AV36" s="46"/>
      <c r="AW36" s="44"/>
      <c r="AX36" s="45"/>
      <c r="AY36" s="46"/>
      <c r="AZ36" s="44"/>
      <c r="BA36" s="45"/>
      <c r="BB36" s="46"/>
      <c r="BC36" s="44"/>
      <c r="BD36" s="45"/>
      <c r="BE36" s="46"/>
      <c r="BF36" s="44"/>
      <c r="BG36" s="45"/>
      <c r="BH36" s="46"/>
      <c r="BI36" s="44"/>
      <c r="BJ36" s="45"/>
      <c r="BK36" s="46"/>
      <c r="BL36" s="44"/>
      <c r="BM36" s="45"/>
      <c r="BN36" s="46"/>
      <c r="BO36" s="44"/>
      <c r="BP36" s="45"/>
      <c r="BQ36" s="46"/>
      <c r="BR36" s="44"/>
      <c r="BS36" s="45"/>
      <c r="BT36" s="46"/>
      <c r="BU36" s="44"/>
      <c r="BV36" s="45"/>
      <c r="BW36" s="46"/>
      <c r="BX36" s="44"/>
      <c r="BY36" s="45"/>
      <c r="BZ36" s="46"/>
      <c r="CA36" s="44"/>
      <c r="CB36" s="45"/>
      <c r="CC36" s="46"/>
      <c r="CD36" s="44"/>
      <c r="CE36" s="45"/>
      <c r="CF36" s="46"/>
      <c r="CG36" s="44"/>
      <c r="CH36" s="45"/>
      <c r="CI36" s="46"/>
      <c r="CJ36" s="44"/>
      <c r="CK36" s="45"/>
      <c r="CL36" s="46"/>
      <c r="CM36" s="44"/>
      <c r="CN36" s="45"/>
      <c r="CO36" s="46"/>
      <c r="CP36" s="44"/>
      <c r="CQ36" s="45"/>
      <c r="CR36" s="46"/>
      <c r="CS36" s="44"/>
      <c r="CT36" s="45"/>
      <c r="CU36" s="46"/>
      <c r="CV36" s="44"/>
      <c r="CW36" s="45"/>
      <c r="CX36" s="46"/>
      <c r="CY36" s="44"/>
      <c r="CZ36" s="45"/>
      <c r="DA36" s="46"/>
      <c r="DB36" s="44"/>
      <c r="DC36" s="45"/>
      <c r="DD36" s="46"/>
      <c r="DE36" s="44"/>
      <c r="DF36" s="45"/>
      <c r="DG36" s="61"/>
      <c r="DH36" s="64">
        <f t="shared" si="104"/>
        <v>6</v>
      </c>
    </row>
    <row r="37" spans="2:112" x14ac:dyDescent="0.25">
      <c r="B37" s="3" t="s">
        <v>12</v>
      </c>
      <c r="C37" s="11">
        <v>2</v>
      </c>
      <c r="D37" s="16">
        <v>2</v>
      </c>
      <c r="E37" s="4">
        <v>2</v>
      </c>
      <c r="F37" s="17">
        <v>2</v>
      </c>
      <c r="G37" s="15"/>
      <c r="H37" s="2"/>
      <c r="I37" s="33"/>
      <c r="J37" s="39"/>
      <c r="K37" s="14"/>
      <c r="L37" s="40"/>
      <c r="M37" s="39"/>
      <c r="N37" s="14"/>
      <c r="O37" s="40"/>
      <c r="P37" s="39">
        <v>2</v>
      </c>
      <c r="Q37" s="14">
        <v>2</v>
      </c>
      <c r="R37" s="40">
        <v>2</v>
      </c>
      <c r="S37" s="39"/>
      <c r="T37" s="14"/>
      <c r="U37" s="40"/>
      <c r="V37" s="39"/>
      <c r="W37" s="14"/>
      <c r="X37" s="40"/>
      <c r="Y37" s="50"/>
      <c r="Z37" s="56"/>
      <c r="AA37" s="57"/>
      <c r="AB37" s="39"/>
      <c r="AC37" s="14"/>
      <c r="AD37" s="40"/>
      <c r="AE37" s="44"/>
      <c r="AF37" s="45"/>
      <c r="AG37" s="46"/>
      <c r="AH37" s="44"/>
      <c r="AI37" s="45"/>
      <c r="AJ37" s="46"/>
      <c r="AK37" s="44"/>
      <c r="AL37" s="45"/>
      <c r="AM37" s="46"/>
      <c r="AN37" s="44"/>
      <c r="AO37" s="45"/>
      <c r="AP37" s="46"/>
      <c r="AQ37" s="44"/>
      <c r="AR37" s="45"/>
      <c r="AS37" s="46"/>
      <c r="AT37" s="44"/>
      <c r="AU37" s="45"/>
      <c r="AV37" s="46"/>
      <c r="AW37" s="44"/>
      <c r="AX37" s="45"/>
      <c r="AY37" s="46"/>
      <c r="AZ37" s="44"/>
      <c r="BA37" s="45"/>
      <c r="BB37" s="46"/>
      <c r="BC37" s="44"/>
      <c r="BD37" s="45"/>
      <c r="BE37" s="46"/>
      <c r="BF37" s="44"/>
      <c r="BG37" s="45"/>
      <c r="BH37" s="46"/>
      <c r="BI37" s="44"/>
      <c r="BJ37" s="45"/>
      <c r="BK37" s="46"/>
      <c r="BL37" s="44"/>
      <c r="BM37" s="45"/>
      <c r="BN37" s="46"/>
      <c r="BO37" s="44"/>
      <c r="BP37" s="45"/>
      <c r="BQ37" s="46"/>
      <c r="BR37" s="44"/>
      <c r="BS37" s="45"/>
      <c r="BT37" s="46"/>
      <c r="BU37" s="44"/>
      <c r="BV37" s="45"/>
      <c r="BW37" s="46"/>
      <c r="BX37" s="44"/>
      <c r="BY37" s="45"/>
      <c r="BZ37" s="46"/>
      <c r="CA37" s="44"/>
      <c r="CB37" s="45"/>
      <c r="CC37" s="46"/>
      <c r="CD37" s="44"/>
      <c r="CE37" s="45"/>
      <c r="CF37" s="46"/>
      <c r="CG37" s="44"/>
      <c r="CH37" s="45"/>
      <c r="CI37" s="46"/>
      <c r="CJ37" s="44"/>
      <c r="CK37" s="45"/>
      <c r="CL37" s="46"/>
      <c r="CM37" s="44"/>
      <c r="CN37" s="45"/>
      <c r="CO37" s="46"/>
      <c r="CP37" s="44"/>
      <c r="CQ37" s="45"/>
      <c r="CR37" s="46"/>
      <c r="CS37" s="44"/>
      <c r="CT37" s="45"/>
      <c r="CU37" s="46"/>
      <c r="CV37" s="44"/>
      <c r="CW37" s="45"/>
      <c r="CX37" s="46"/>
      <c r="CY37" s="44"/>
      <c r="CZ37" s="45"/>
      <c r="DA37" s="46"/>
      <c r="DB37" s="44"/>
      <c r="DC37" s="45"/>
      <c r="DD37" s="46"/>
      <c r="DE37" s="44"/>
      <c r="DF37" s="45"/>
      <c r="DG37" s="61"/>
      <c r="DH37" s="64">
        <f t="shared" si="104"/>
        <v>6</v>
      </c>
    </row>
    <row r="38" spans="2:112" x14ac:dyDescent="0.25">
      <c r="B38" s="3" t="s">
        <v>13</v>
      </c>
      <c r="C38" s="11">
        <v>2</v>
      </c>
      <c r="D38" s="16">
        <v>2</v>
      </c>
      <c r="E38" s="4">
        <v>2</v>
      </c>
      <c r="F38" s="17">
        <v>2</v>
      </c>
      <c r="G38" s="15"/>
      <c r="H38" s="2"/>
      <c r="I38" s="33"/>
      <c r="J38" s="39"/>
      <c r="K38" s="14"/>
      <c r="L38" s="40"/>
      <c r="M38" s="39"/>
      <c r="N38" s="14"/>
      <c r="O38" s="40"/>
      <c r="P38" s="39"/>
      <c r="Q38" s="14"/>
      <c r="R38" s="40"/>
      <c r="S38" s="39">
        <v>2</v>
      </c>
      <c r="T38" s="14">
        <v>2</v>
      </c>
      <c r="U38" s="40">
        <v>2</v>
      </c>
      <c r="V38" s="39"/>
      <c r="W38" s="14"/>
      <c r="X38" s="40"/>
      <c r="Y38" s="50"/>
      <c r="Z38" s="56"/>
      <c r="AA38" s="57"/>
      <c r="AB38" s="39"/>
      <c r="AC38" s="14"/>
      <c r="AD38" s="40"/>
      <c r="AE38" s="44"/>
      <c r="AF38" s="45"/>
      <c r="AG38" s="46"/>
      <c r="AH38" s="44"/>
      <c r="AI38" s="45"/>
      <c r="AJ38" s="46"/>
      <c r="AK38" s="44"/>
      <c r="AL38" s="45"/>
      <c r="AM38" s="46"/>
      <c r="AN38" s="44"/>
      <c r="AO38" s="45"/>
      <c r="AP38" s="46"/>
      <c r="AQ38" s="44"/>
      <c r="AR38" s="45"/>
      <c r="AS38" s="46"/>
      <c r="AT38" s="44"/>
      <c r="AU38" s="45"/>
      <c r="AV38" s="46"/>
      <c r="AW38" s="44"/>
      <c r="AX38" s="45"/>
      <c r="AY38" s="46"/>
      <c r="AZ38" s="44"/>
      <c r="BA38" s="45"/>
      <c r="BB38" s="46"/>
      <c r="BC38" s="44"/>
      <c r="BD38" s="45"/>
      <c r="BE38" s="46"/>
      <c r="BF38" s="44"/>
      <c r="BG38" s="45"/>
      <c r="BH38" s="46"/>
      <c r="BI38" s="44"/>
      <c r="BJ38" s="45"/>
      <c r="BK38" s="46"/>
      <c r="BL38" s="44"/>
      <c r="BM38" s="45"/>
      <c r="BN38" s="46"/>
      <c r="BO38" s="44"/>
      <c r="BP38" s="45"/>
      <c r="BQ38" s="46"/>
      <c r="BR38" s="44"/>
      <c r="BS38" s="45"/>
      <c r="BT38" s="46"/>
      <c r="BU38" s="44"/>
      <c r="BV38" s="45"/>
      <c r="BW38" s="46"/>
      <c r="BX38" s="44"/>
      <c r="BY38" s="45"/>
      <c r="BZ38" s="46"/>
      <c r="CA38" s="44"/>
      <c r="CB38" s="45"/>
      <c r="CC38" s="46"/>
      <c r="CD38" s="44"/>
      <c r="CE38" s="45"/>
      <c r="CF38" s="46"/>
      <c r="CG38" s="44"/>
      <c r="CH38" s="45"/>
      <c r="CI38" s="46"/>
      <c r="CJ38" s="44"/>
      <c r="CK38" s="45"/>
      <c r="CL38" s="46"/>
      <c r="CM38" s="44"/>
      <c r="CN38" s="45"/>
      <c r="CO38" s="46"/>
      <c r="CP38" s="44"/>
      <c r="CQ38" s="45"/>
      <c r="CR38" s="46"/>
      <c r="CS38" s="44"/>
      <c r="CT38" s="45"/>
      <c r="CU38" s="46"/>
      <c r="CV38" s="44"/>
      <c r="CW38" s="45"/>
      <c r="CX38" s="46"/>
      <c r="CY38" s="44"/>
      <c r="CZ38" s="45"/>
      <c r="DA38" s="46"/>
      <c r="DB38" s="44"/>
      <c r="DC38" s="45"/>
      <c r="DD38" s="46"/>
      <c r="DE38" s="44"/>
      <c r="DF38" s="45"/>
      <c r="DG38" s="61"/>
      <c r="DH38" s="64">
        <f t="shared" si="104"/>
        <v>6</v>
      </c>
    </row>
    <row r="39" spans="2:112" x14ac:dyDescent="0.25">
      <c r="B39" s="3" t="s">
        <v>14</v>
      </c>
      <c r="C39" s="11">
        <v>2</v>
      </c>
      <c r="D39" s="16">
        <v>2</v>
      </c>
      <c r="E39" s="4">
        <v>2</v>
      </c>
      <c r="F39" s="17">
        <v>2</v>
      </c>
      <c r="G39" s="15"/>
      <c r="H39" s="2"/>
      <c r="I39" s="33"/>
      <c r="J39" s="39"/>
      <c r="K39" s="14"/>
      <c r="L39" s="40"/>
      <c r="M39" s="39"/>
      <c r="N39" s="14"/>
      <c r="O39" s="40"/>
      <c r="P39" s="39"/>
      <c r="Q39" s="14"/>
      <c r="R39" s="40"/>
      <c r="S39" s="39">
        <v>2</v>
      </c>
      <c r="T39" s="14">
        <v>2</v>
      </c>
      <c r="U39" s="40">
        <v>2</v>
      </c>
      <c r="V39" s="39"/>
      <c r="W39" s="14"/>
      <c r="X39" s="40"/>
      <c r="Y39" s="50"/>
      <c r="Z39" s="56"/>
      <c r="AA39" s="57"/>
      <c r="AB39" s="39"/>
      <c r="AC39" s="14"/>
      <c r="AD39" s="40"/>
      <c r="AE39" s="44"/>
      <c r="AF39" s="45"/>
      <c r="AG39" s="46"/>
      <c r="AH39" s="44"/>
      <c r="AI39" s="45"/>
      <c r="AJ39" s="46"/>
      <c r="AK39" s="44"/>
      <c r="AL39" s="45"/>
      <c r="AM39" s="46"/>
      <c r="AN39" s="44"/>
      <c r="AO39" s="45"/>
      <c r="AP39" s="46"/>
      <c r="AQ39" s="44"/>
      <c r="AR39" s="45"/>
      <c r="AS39" s="46"/>
      <c r="AT39" s="44"/>
      <c r="AU39" s="45"/>
      <c r="AV39" s="46"/>
      <c r="AW39" s="44"/>
      <c r="AX39" s="45"/>
      <c r="AY39" s="46"/>
      <c r="AZ39" s="44"/>
      <c r="BA39" s="45"/>
      <c r="BB39" s="46"/>
      <c r="BC39" s="44"/>
      <c r="BD39" s="45"/>
      <c r="BE39" s="46"/>
      <c r="BF39" s="44"/>
      <c r="BG39" s="45"/>
      <c r="BH39" s="46"/>
      <c r="BI39" s="44"/>
      <c r="BJ39" s="45"/>
      <c r="BK39" s="46"/>
      <c r="BL39" s="44"/>
      <c r="BM39" s="45"/>
      <c r="BN39" s="46"/>
      <c r="BO39" s="44"/>
      <c r="BP39" s="45"/>
      <c r="BQ39" s="46"/>
      <c r="BR39" s="44"/>
      <c r="BS39" s="45"/>
      <c r="BT39" s="46"/>
      <c r="BU39" s="44"/>
      <c r="BV39" s="45"/>
      <c r="BW39" s="46"/>
      <c r="BX39" s="44"/>
      <c r="BY39" s="45"/>
      <c r="BZ39" s="46"/>
      <c r="CA39" s="44"/>
      <c r="CB39" s="45"/>
      <c r="CC39" s="46"/>
      <c r="CD39" s="44"/>
      <c r="CE39" s="45"/>
      <c r="CF39" s="46"/>
      <c r="CG39" s="44"/>
      <c r="CH39" s="45"/>
      <c r="CI39" s="46"/>
      <c r="CJ39" s="44"/>
      <c r="CK39" s="45"/>
      <c r="CL39" s="46"/>
      <c r="CM39" s="44"/>
      <c r="CN39" s="45"/>
      <c r="CO39" s="46"/>
      <c r="CP39" s="44"/>
      <c r="CQ39" s="45"/>
      <c r="CR39" s="46"/>
      <c r="CS39" s="44"/>
      <c r="CT39" s="45"/>
      <c r="CU39" s="46"/>
      <c r="CV39" s="44"/>
      <c r="CW39" s="45"/>
      <c r="CX39" s="46"/>
      <c r="CY39" s="44"/>
      <c r="CZ39" s="45"/>
      <c r="DA39" s="46"/>
      <c r="DB39" s="44"/>
      <c r="DC39" s="45"/>
      <c r="DD39" s="46"/>
      <c r="DE39" s="44"/>
      <c r="DF39" s="45"/>
      <c r="DG39" s="61"/>
      <c r="DH39" s="64">
        <f t="shared" si="104"/>
        <v>6</v>
      </c>
    </row>
    <row r="40" spans="2:112" x14ac:dyDescent="0.25">
      <c r="B40" s="3" t="s">
        <v>15</v>
      </c>
      <c r="C40" s="11">
        <v>2</v>
      </c>
      <c r="D40" s="16">
        <v>2</v>
      </c>
      <c r="E40" s="4">
        <v>2</v>
      </c>
      <c r="F40" s="17">
        <v>2</v>
      </c>
      <c r="G40" s="15"/>
      <c r="H40" s="2"/>
      <c r="I40" s="33"/>
      <c r="J40" s="39"/>
      <c r="K40" s="14"/>
      <c r="L40" s="40"/>
      <c r="M40" s="39"/>
      <c r="N40" s="14"/>
      <c r="O40" s="40"/>
      <c r="P40" s="39"/>
      <c r="Q40" s="14"/>
      <c r="R40" s="40"/>
      <c r="S40" s="39"/>
      <c r="T40" s="14"/>
      <c r="U40" s="40"/>
      <c r="V40" s="39">
        <v>2</v>
      </c>
      <c r="W40" s="14">
        <v>2</v>
      </c>
      <c r="X40" s="40">
        <v>2</v>
      </c>
      <c r="Y40" s="50"/>
      <c r="Z40" s="56"/>
      <c r="AA40" s="57"/>
      <c r="AB40" s="39"/>
      <c r="AC40" s="14"/>
      <c r="AD40" s="40"/>
      <c r="AE40" s="44"/>
      <c r="AF40" s="45"/>
      <c r="AG40" s="46"/>
      <c r="AH40" s="44"/>
      <c r="AI40" s="45"/>
      <c r="AJ40" s="46"/>
      <c r="AK40" s="44"/>
      <c r="AL40" s="45"/>
      <c r="AM40" s="46"/>
      <c r="AN40" s="44"/>
      <c r="AO40" s="45"/>
      <c r="AP40" s="46"/>
      <c r="AQ40" s="44"/>
      <c r="AR40" s="45"/>
      <c r="AS40" s="46"/>
      <c r="AT40" s="44"/>
      <c r="AU40" s="45"/>
      <c r="AV40" s="46"/>
      <c r="AW40" s="44"/>
      <c r="AX40" s="45"/>
      <c r="AY40" s="46"/>
      <c r="AZ40" s="44"/>
      <c r="BA40" s="45"/>
      <c r="BB40" s="46"/>
      <c r="BC40" s="44"/>
      <c r="BD40" s="45"/>
      <c r="BE40" s="46"/>
      <c r="BF40" s="44"/>
      <c r="BG40" s="45"/>
      <c r="BH40" s="46"/>
      <c r="BI40" s="44"/>
      <c r="BJ40" s="45"/>
      <c r="BK40" s="46"/>
      <c r="BL40" s="44"/>
      <c r="BM40" s="45"/>
      <c r="BN40" s="46"/>
      <c r="BO40" s="44"/>
      <c r="BP40" s="45"/>
      <c r="BQ40" s="46"/>
      <c r="BR40" s="44"/>
      <c r="BS40" s="45"/>
      <c r="BT40" s="46"/>
      <c r="BU40" s="44"/>
      <c r="BV40" s="45"/>
      <c r="BW40" s="46"/>
      <c r="BX40" s="44"/>
      <c r="BY40" s="45"/>
      <c r="BZ40" s="46"/>
      <c r="CA40" s="44"/>
      <c r="CB40" s="45"/>
      <c r="CC40" s="46"/>
      <c r="CD40" s="44"/>
      <c r="CE40" s="45"/>
      <c r="CF40" s="46"/>
      <c r="CG40" s="44"/>
      <c r="CH40" s="45"/>
      <c r="CI40" s="46"/>
      <c r="CJ40" s="44"/>
      <c r="CK40" s="45"/>
      <c r="CL40" s="46"/>
      <c r="CM40" s="44"/>
      <c r="CN40" s="45"/>
      <c r="CO40" s="46"/>
      <c r="CP40" s="44"/>
      <c r="CQ40" s="45"/>
      <c r="CR40" s="46"/>
      <c r="CS40" s="44"/>
      <c r="CT40" s="45"/>
      <c r="CU40" s="46"/>
      <c r="CV40" s="44"/>
      <c r="CW40" s="45"/>
      <c r="CX40" s="46"/>
      <c r="CY40" s="44"/>
      <c r="CZ40" s="45"/>
      <c r="DA40" s="46"/>
      <c r="DB40" s="44"/>
      <c r="DC40" s="45"/>
      <c r="DD40" s="46"/>
      <c r="DE40" s="44"/>
      <c r="DF40" s="45"/>
      <c r="DG40" s="61"/>
      <c r="DH40" s="64">
        <f t="shared" si="104"/>
        <v>6</v>
      </c>
    </row>
    <row r="41" spans="2:112" x14ac:dyDescent="0.25">
      <c r="B41" s="3" t="s">
        <v>16</v>
      </c>
      <c r="C41" s="11">
        <v>2</v>
      </c>
      <c r="D41" s="16">
        <v>2</v>
      </c>
      <c r="E41" s="4">
        <v>2</v>
      </c>
      <c r="F41" s="17">
        <v>2</v>
      </c>
      <c r="G41" s="15"/>
      <c r="H41" s="2"/>
      <c r="I41" s="33"/>
      <c r="J41" s="39"/>
      <c r="K41" s="14"/>
      <c r="L41" s="40"/>
      <c r="M41" s="39"/>
      <c r="N41" s="14"/>
      <c r="O41" s="40"/>
      <c r="P41" s="39"/>
      <c r="Q41" s="14"/>
      <c r="R41" s="40"/>
      <c r="S41" s="39"/>
      <c r="T41" s="14"/>
      <c r="U41" s="40"/>
      <c r="V41" s="39">
        <v>2</v>
      </c>
      <c r="W41" s="14">
        <v>2</v>
      </c>
      <c r="X41" s="40">
        <v>2</v>
      </c>
      <c r="Y41" s="50"/>
      <c r="Z41" s="56"/>
      <c r="AA41" s="57"/>
      <c r="AB41" s="39"/>
      <c r="AC41" s="14"/>
      <c r="AD41" s="40"/>
      <c r="AE41" s="44"/>
      <c r="AF41" s="45"/>
      <c r="AG41" s="46"/>
      <c r="AH41" s="44"/>
      <c r="AI41" s="45"/>
      <c r="AJ41" s="46"/>
      <c r="AK41" s="44"/>
      <c r="AL41" s="45"/>
      <c r="AM41" s="46"/>
      <c r="AN41" s="44"/>
      <c r="AO41" s="45"/>
      <c r="AP41" s="46"/>
      <c r="AQ41" s="44"/>
      <c r="AR41" s="45"/>
      <c r="AS41" s="46"/>
      <c r="AT41" s="44"/>
      <c r="AU41" s="45"/>
      <c r="AV41" s="46"/>
      <c r="AW41" s="44"/>
      <c r="AX41" s="45"/>
      <c r="AY41" s="46"/>
      <c r="AZ41" s="44"/>
      <c r="BA41" s="45"/>
      <c r="BB41" s="46"/>
      <c r="BC41" s="44"/>
      <c r="BD41" s="45"/>
      <c r="BE41" s="46"/>
      <c r="BF41" s="44"/>
      <c r="BG41" s="45"/>
      <c r="BH41" s="46"/>
      <c r="BI41" s="44"/>
      <c r="BJ41" s="45"/>
      <c r="BK41" s="46"/>
      <c r="BL41" s="44"/>
      <c r="BM41" s="45"/>
      <c r="BN41" s="46"/>
      <c r="BO41" s="44"/>
      <c r="BP41" s="45"/>
      <c r="BQ41" s="46"/>
      <c r="BR41" s="44"/>
      <c r="BS41" s="45"/>
      <c r="BT41" s="46"/>
      <c r="BU41" s="44"/>
      <c r="BV41" s="45"/>
      <c r="BW41" s="46"/>
      <c r="BX41" s="44"/>
      <c r="BY41" s="45"/>
      <c r="BZ41" s="46"/>
      <c r="CA41" s="44"/>
      <c r="CB41" s="45"/>
      <c r="CC41" s="46"/>
      <c r="CD41" s="44"/>
      <c r="CE41" s="45"/>
      <c r="CF41" s="46"/>
      <c r="CG41" s="44"/>
      <c r="CH41" s="45"/>
      <c r="CI41" s="46"/>
      <c r="CJ41" s="44"/>
      <c r="CK41" s="45"/>
      <c r="CL41" s="46"/>
      <c r="CM41" s="44"/>
      <c r="CN41" s="45"/>
      <c r="CO41" s="46"/>
      <c r="CP41" s="44"/>
      <c r="CQ41" s="45"/>
      <c r="CR41" s="46"/>
      <c r="CS41" s="44"/>
      <c r="CT41" s="45"/>
      <c r="CU41" s="46"/>
      <c r="CV41" s="44"/>
      <c r="CW41" s="45"/>
      <c r="CX41" s="46"/>
      <c r="CY41" s="44"/>
      <c r="CZ41" s="45"/>
      <c r="DA41" s="46"/>
      <c r="DB41" s="44"/>
      <c r="DC41" s="45"/>
      <c r="DD41" s="46"/>
      <c r="DE41" s="44"/>
      <c r="DF41" s="45"/>
      <c r="DG41" s="61"/>
      <c r="DH41" s="64">
        <f t="shared" si="104"/>
        <v>6</v>
      </c>
    </row>
    <row r="42" spans="2:112" x14ac:dyDescent="0.25">
      <c r="B42" s="3" t="s">
        <v>17</v>
      </c>
      <c r="C42" s="11">
        <v>2</v>
      </c>
      <c r="D42" s="16">
        <v>2</v>
      </c>
      <c r="E42" s="4">
        <v>2</v>
      </c>
      <c r="F42" s="17">
        <v>2</v>
      </c>
      <c r="G42" s="15"/>
      <c r="H42" s="2"/>
      <c r="I42" s="33"/>
      <c r="J42" s="39"/>
      <c r="K42" s="14"/>
      <c r="L42" s="40"/>
      <c r="M42" s="39"/>
      <c r="N42" s="14"/>
      <c r="O42" s="40"/>
      <c r="P42" s="39"/>
      <c r="Q42" s="14"/>
      <c r="R42" s="40"/>
      <c r="S42" s="39"/>
      <c r="T42" s="14"/>
      <c r="U42" s="40"/>
      <c r="V42" s="39"/>
      <c r="W42" s="14"/>
      <c r="X42" s="40"/>
      <c r="Y42" s="50">
        <v>2</v>
      </c>
      <c r="Z42" s="56">
        <v>2</v>
      </c>
      <c r="AA42" s="57">
        <v>2</v>
      </c>
      <c r="AB42" s="39"/>
      <c r="AC42" s="14"/>
      <c r="AD42" s="40"/>
      <c r="AE42" s="44"/>
      <c r="AF42" s="45"/>
      <c r="AG42" s="46"/>
      <c r="AH42" s="44"/>
      <c r="AI42" s="45"/>
      <c r="AJ42" s="46"/>
      <c r="AK42" s="44"/>
      <c r="AL42" s="45"/>
      <c r="AM42" s="46"/>
      <c r="AN42" s="44"/>
      <c r="AO42" s="45"/>
      <c r="AP42" s="46"/>
      <c r="AQ42" s="44"/>
      <c r="AR42" s="45"/>
      <c r="AS42" s="46"/>
      <c r="AT42" s="44"/>
      <c r="AU42" s="45"/>
      <c r="AV42" s="46"/>
      <c r="AW42" s="44"/>
      <c r="AX42" s="45"/>
      <c r="AY42" s="46"/>
      <c r="AZ42" s="44"/>
      <c r="BA42" s="45"/>
      <c r="BB42" s="46"/>
      <c r="BC42" s="44"/>
      <c r="BD42" s="45"/>
      <c r="BE42" s="46"/>
      <c r="BF42" s="44"/>
      <c r="BG42" s="45"/>
      <c r="BH42" s="46"/>
      <c r="BI42" s="44"/>
      <c r="BJ42" s="45"/>
      <c r="BK42" s="46"/>
      <c r="BL42" s="44"/>
      <c r="BM42" s="45"/>
      <c r="BN42" s="46"/>
      <c r="BO42" s="44"/>
      <c r="BP42" s="45"/>
      <c r="BQ42" s="46"/>
      <c r="BR42" s="44"/>
      <c r="BS42" s="45"/>
      <c r="BT42" s="46"/>
      <c r="BU42" s="44"/>
      <c r="BV42" s="45"/>
      <c r="BW42" s="46"/>
      <c r="BX42" s="44"/>
      <c r="BY42" s="45"/>
      <c r="BZ42" s="46"/>
      <c r="CA42" s="44"/>
      <c r="CB42" s="45"/>
      <c r="CC42" s="46"/>
      <c r="CD42" s="44"/>
      <c r="CE42" s="45"/>
      <c r="CF42" s="46"/>
      <c r="CG42" s="44"/>
      <c r="CH42" s="45"/>
      <c r="CI42" s="46"/>
      <c r="CJ42" s="44"/>
      <c r="CK42" s="45"/>
      <c r="CL42" s="46"/>
      <c r="CM42" s="44"/>
      <c r="CN42" s="45"/>
      <c r="CO42" s="46"/>
      <c r="CP42" s="44"/>
      <c r="CQ42" s="45"/>
      <c r="CR42" s="46"/>
      <c r="CS42" s="44"/>
      <c r="CT42" s="45"/>
      <c r="CU42" s="46"/>
      <c r="CV42" s="44"/>
      <c r="CW42" s="45"/>
      <c r="CX42" s="46"/>
      <c r="CY42" s="44"/>
      <c r="CZ42" s="45"/>
      <c r="DA42" s="46"/>
      <c r="DB42" s="44"/>
      <c r="DC42" s="45"/>
      <c r="DD42" s="46"/>
      <c r="DE42" s="44"/>
      <c r="DF42" s="45"/>
      <c r="DG42" s="61"/>
      <c r="DH42" s="64">
        <f t="shared" si="104"/>
        <v>6</v>
      </c>
    </row>
    <row r="43" spans="2:112" x14ac:dyDescent="0.25">
      <c r="B43" s="3" t="s">
        <v>18</v>
      </c>
      <c r="C43" s="11">
        <v>2</v>
      </c>
      <c r="D43" s="16">
        <v>2</v>
      </c>
      <c r="E43" s="4">
        <v>2</v>
      </c>
      <c r="F43" s="17">
        <v>2</v>
      </c>
      <c r="G43" s="15"/>
      <c r="H43" s="2"/>
      <c r="I43" s="33"/>
      <c r="J43" s="39"/>
      <c r="K43" s="14"/>
      <c r="L43" s="40"/>
      <c r="M43" s="39"/>
      <c r="N43" s="14"/>
      <c r="O43" s="40"/>
      <c r="P43" s="39"/>
      <c r="Q43" s="14"/>
      <c r="R43" s="40"/>
      <c r="S43" s="39"/>
      <c r="T43" s="14"/>
      <c r="U43" s="40"/>
      <c r="V43" s="39"/>
      <c r="W43" s="14"/>
      <c r="X43" s="40"/>
      <c r="Y43" s="50">
        <v>2</v>
      </c>
      <c r="Z43" s="56">
        <v>2</v>
      </c>
      <c r="AA43" s="57">
        <v>2</v>
      </c>
      <c r="AB43" s="39"/>
      <c r="AC43" s="14"/>
      <c r="AD43" s="40"/>
      <c r="AE43" s="44"/>
      <c r="AF43" s="45"/>
      <c r="AG43" s="46"/>
      <c r="AH43" s="44"/>
      <c r="AI43" s="45"/>
      <c r="AJ43" s="46"/>
      <c r="AK43" s="44"/>
      <c r="AL43" s="45"/>
      <c r="AM43" s="46"/>
      <c r="AN43" s="44"/>
      <c r="AO43" s="45"/>
      <c r="AP43" s="46"/>
      <c r="AQ43" s="44"/>
      <c r="AR43" s="45"/>
      <c r="AS43" s="46"/>
      <c r="AT43" s="44"/>
      <c r="AU43" s="45"/>
      <c r="AV43" s="46"/>
      <c r="AW43" s="44"/>
      <c r="AX43" s="45"/>
      <c r="AY43" s="46"/>
      <c r="AZ43" s="44"/>
      <c r="BA43" s="45"/>
      <c r="BB43" s="46"/>
      <c r="BC43" s="44"/>
      <c r="BD43" s="45"/>
      <c r="BE43" s="46"/>
      <c r="BF43" s="44"/>
      <c r="BG43" s="45"/>
      <c r="BH43" s="46"/>
      <c r="BI43" s="44"/>
      <c r="BJ43" s="45"/>
      <c r="BK43" s="46"/>
      <c r="BL43" s="44"/>
      <c r="BM43" s="45"/>
      <c r="BN43" s="46"/>
      <c r="BO43" s="44"/>
      <c r="BP43" s="45"/>
      <c r="BQ43" s="46"/>
      <c r="BR43" s="44"/>
      <c r="BS43" s="45"/>
      <c r="BT43" s="46"/>
      <c r="BU43" s="44"/>
      <c r="BV43" s="45"/>
      <c r="BW43" s="46"/>
      <c r="BX43" s="44"/>
      <c r="BY43" s="45"/>
      <c r="BZ43" s="46"/>
      <c r="CA43" s="44"/>
      <c r="CB43" s="45"/>
      <c r="CC43" s="46"/>
      <c r="CD43" s="44"/>
      <c r="CE43" s="45"/>
      <c r="CF43" s="46"/>
      <c r="CG43" s="44"/>
      <c r="CH43" s="45"/>
      <c r="CI43" s="46"/>
      <c r="CJ43" s="44"/>
      <c r="CK43" s="45"/>
      <c r="CL43" s="46"/>
      <c r="CM43" s="44"/>
      <c r="CN43" s="45"/>
      <c r="CO43" s="46"/>
      <c r="CP43" s="44"/>
      <c r="CQ43" s="45"/>
      <c r="CR43" s="46"/>
      <c r="CS43" s="44"/>
      <c r="CT43" s="45"/>
      <c r="CU43" s="46"/>
      <c r="CV43" s="44"/>
      <c r="CW43" s="45"/>
      <c r="CX43" s="46"/>
      <c r="CY43" s="44"/>
      <c r="CZ43" s="45"/>
      <c r="DA43" s="46"/>
      <c r="DB43" s="44"/>
      <c r="DC43" s="45"/>
      <c r="DD43" s="46"/>
      <c r="DE43" s="44"/>
      <c r="DF43" s="45"/>
      <c r="DG43" s="61"/>
      <c r="DH43" s="64">
        <f t="shared" si="104"/>
        <v>6</v>
      </c>
    </row>
    <row r="44" spans="2:112" x14ac:dyDescent="0.25">
      <c r="B44" s="3" t="s">
        <v>19</v>
      </c>
      <c r="C44" s="11">
        <v>2</v>
      </c>
      <c r="D44" s="16">
        <v>2</v>
      </c>
      <c r="E44" s="4">
        <v>2</v>
      </c>
      <c r="F44" s="17">
        <v>2</v>
      </c>
      <c r="G44" s="15"/>
      <c r="H44" s="2"/>
      <c r="I44" s="33"/>
      <c r="J44" s="39"/>
      <c r="K44" s="14"/>
      <c r="L44" s="40"/>
      <c r="M44" s="39"/>
      <c r="N44" s="14"/>
      <c r="O44" s="40"/>
      <c r="P44" s="39"/>
      <c r="Q44" s="14"/>
      <c r="R44" s="40"/>
      <c r="S44" s="39"/>
      <c r="T44" s="14"/>
      <c r="U44" s="40"/>
      <c r="V44" s="39"/>
      <c r="W44" s="14"/>
      <c r="X44" s="40"/>
      <c r="Y44" s="50"/>
      <c r="Z44" s="56"/>
      <c r="AA44" s="57"/>
      <c r="AB44" s="39">
        <v>2</v>
      </c>
      <c r="AC44" s="14">
        <v>2</v>
      </c>
      <c r="AD44" s="40">
        <v>2</v>
      </c>
      <c r="AE44" s="44"/>
      <c r="AF44" s="45"/>
      <c r="AG44" s="46"/>
      <c r="AH44" s="44"/>
      <c r="AI44" s="45"/>
      <c r="AJ44" s="46"/>
      <c r="AK44" s="44"/>
      <c r="AL44" s="45"/>
      <c r="AM44" s="46"/>
      <c r="AN44" s="44"/>
      <c r="AO44" s="45"/>
      <c r="AP44" s="46"/>
      <c r="AQ44" s="44"/>
      <c r="AR44" s="45"/>
      <c r="AS44" s="46"/>
      <c r="AT44" s="44"/>
      <c r="AU44" s="45"/>
      <c r="AV44" s="46"/>
      <c r="AW44" s="44"/>
      <c r="AX44" s="45"/>
      <c r="AY44" s="46"/>
      <c r="AZ44" s="44"/>
      <c r="BA44" s="45"/>
      <c r="BB44" s="46"/>
      <c r="BC44" s="44"/>
      <c r="BD44" s="45"/>
      <c r="BE44" s="46"/>
      <c r="BF44" s="44"/>
      <c r="BG44" s="45"/>
      <c r="BH44" s="46"/>
      <c r="BI44" s="44"/>
      <c r="BJ44" s="45"/>
      <c r="BK44" s="46"/>
      <c r="BL44" s="44"/>
      <c r="BM44" s="45"/>
      <c r="BN44" s="46"/>
      <c r="BO44" s="44"/>
      <c r="BP44" s="45"/>
      <c r="BQ44" s="46"/>
      <c r="BR44" s="44"/>
      <c r="BS44" s="45"/>
      <c r="BT44" s="46"/>
      <c r="BU44" s="44"/>
      <c r="BV44" s="45"/>
      <c r="BW44" s="46"/>
      <c r="BX44" s="44"/>
      <c r="BY44" s="45"/>
      <c r="BZ44" s="46"/>
      <c r="CA44" s="44"/>
      <c r="CB44" s="45"/>
      <c r="CC44" s="46"/>
      <c r="CD44" s="44"/>
      <c r="CE44" s="45"/>
      <c r="CF44" s="46"/>
      <c r="CG44" s="44"/>
      <c r="CH44" s="45"/>
      <c r="CI44" s="46"/>
      <c r="CJ44" s="44"/>
      <c r="CK44" s="45"/>
      <c r="CL44" s="46"/>
      <c r="CM44" s="44"/>
      <c r="CN44" s="45"/>
      <c r="CO44" s="46"/>
      <c r="CP44" s="44"/>
      <c r="CQ44" s="45"/>
      <c r="CR44" s="46"/>
      <c r="CS44" s="44"/>
      <c r="CT44" s="45"/>
      <c r="CU44" s="46"/>
      <c r="CV44" s="44"/>
      <c r="CW44" s="45"/>
      <c r="CX44" s="46"/>
      <c r="CY44" s="44"/>
      <c r="CZ44" s="45"/>
      <c r="DA44" s="46"/>
      <c r="DB44" s="44"/>
      <c r="DC44" s="45"/>
      <c r="DD44" s="46"/>
      <c r="DE44" s="44"/>
      <c r="DF44" s="45"/>
      <c r="DG44" s="61"/>
      <c r="DH44" s="64">
        <f t="shared" si="104"/>
        <v>6</v>
      </c>
    </row>
    <row r="45" spans="2:112" ht="15.75" thickBot="1" x14ac:dyDescent="0.3">
      <c r="B45" s="3" t="s">
        <v>20</v>
      </c>
      <c r="C45" s="11">
        <v>2</v>
      </c>
      <c r="D45" s="16">
        <v>2</v>
      </c>
      <c r="E45" s="4">
        <v>2</v>
      </c>
      <c r="F45" s="17">
        <v>2</v>
      </c>
      <c r="G45" s="15"/>
      <c r="H45" s="2"/>
      <c r="I45" s="33"/>
      <c r="J45" s="39"/>
      <c r="K45" s="14"/>
      <c r="L45" s="40"/>
      <c r="M45" s="39"/>
      <c r="N45" s="14"/>
      <c r="O45" s="40"/>
      <c r="P45" s="39"/>
      <c r="Q45" s="14"/>
      <c r="R45" s="40"/>
      <c r="S45" s="39"/>
      <c r="T45" s="14"/>
      <c r="U45" s="40"/>
      <c r="V45" s="39"/>
      <c r="W45" s="14"/>
      <c r="X45" s="40"/>
      <c r="Y45" s="50"/>
      <c r="Z45" s="56"/>
      <c r="AA45" s="57"/>
      <c r="AB45" s="39">
        <v>2</v>
      </c>
      <c r="AC45" s="14">
        <v>2</v>
      </c>
      <c r="AD45" s="40">
        <v>2</v>
      </c>
      <c r="AE45" s="47"/>
      <c r="AF45" s="48"/>
      <c r="AG45" s="49"/>
      <c r="AH45" s="47"/>
      <c r="AI45" s="48"/>
      <c r="AJ45" s="49"/>
      <c r="AK45" s="47"/>
      <c r="AL45" s="48"/>
      <c r="AM45" s="49"/>
      <c r="AN45" s="47"/>
      <c r="AO45" s="48"/>
      <c r="AP45" s="49"/>
      <c r="AQ45" s="47"/>
      <c r="AR45" s="48"/>
      <c r="AS45" s="49"/>
      <c r="AT45" s="47"/>
      <c r="AU45" s="48"/>
      <c r="AV45" s="49"/>
      <c r="AW45" s="47"/>
      <c r="AX45" s="48"/>
      <c r="AY45" s="49"/>
      <c r="AZ45" s="47"/>
      <c r="BA45" s="48"/>
      <c r="BB45" s="49"/>
      <c r="BC45" s="47"/>
      <c r="BD45" s="48"/>
      <c r="BE45" s="49"/>
      <c r="BF45" s="47"/>
      <c r="BG45" s="48"/>
      <c r="BH45" s="49"/>
      <c r="BI45" s="47"/>
      <c r="BJ45" s="48"/>
      <c r="BK45" s="49"/>
      <c r="BL45" s="47"/>
      <c r="BM45" s="48"/>
      <c r="BN45" s="49"/>
      <c r="BO45" s="47"/>
      <c r="BP45" s="48"/>
      <c r="BQ45" s="49"/>
      <c r="BR45" s="47"/>
      <c r="BS45" s="48"/>
      <c r="BT45" s="49"/>
      <c r="BU45" s="47"/>
      <c r="BV45" s="48"/>
      <c r="BW45" s="49"/>
      <c r="BX45" s="47"/>
      <c r="BY45" s="48"/>
      <c r="BZ45" s="49"/>
      <c r="CA45" s="47"/>
      <c r="CB45" s="48"/>
      <c r="CC45" s="49"/>
      <c r="CD45" s="47"/>
      <c r="CE45" s="48"/>
      <c r="CF45" s="49"/>
      <c r="CG45" s="47"/>
      <c r="CH45" s="48"/>
      <c r="CI45" s="49"/>
      <c r="CJ45" s="47"/>
      <c r="CK45" s="48"/>
      <c r="CL45" s="49"/>
      <c r="CM45" s="47"/>
      <c r="CN45" s="48"/>
      <c r="CO45" s="49"/>
      <c r="CP45" s="47"/>
      <c r="CQ45" s="48"/>
      <c r="CR45" s="49"/>
      <c r="CS45" s="47"/>
      <c r="CT45" s="48"/>
      <c r="CU45" s="49"/>
      <c r="CV45" s="47"/>
      <c r="CW45" s="48"/>
      <c r="CX45" s="49"/>
      <c r="CY45" s="47"/>
      <c r="CZ45" s="48"/>
      <c r="DA45" s="49"/>
      <c r="DB45" s="47"/>
      <c r="DC45" s="48"/>
      <c r="DD45" s="49"/>
      <c r="DE45" s="47"/>
      <c r="DF45" s="48"/>
      <c r="DG45" s="62"/>
      <c r="DH45" s="64">
        <f t="shared" si="104"/>
        <v>6</v>
      </c>
    </row>
    <row r="46" spans="2:112" ht="16.5" thickTop="1" thickBot="1" x14ac:dyDescent="0.3">
      <c r="B46" s="7" t="s">
        <v>28</v>
      </c>
      <c r="C46" s="13">
        <f>SUM(C30:C45)</f>
        <v>32</v>
      </c>
      <c r="D46" s="20">
        <f t="shared" ref="D46" si="105">SUM(D30:D45)</f>
        <v>32</v>
      </c>
      <c r="E46" s="7">
        <f t="shared" ref="E46" si="106">SUM(E30:E45)</f>
        <v>32</v>
      </c>
      <c r="F46" s="21">
        <f t="shared" ref="F46" si="107">SUM(F30:F45)</f>
        <v>32</v>
      </c>
      <c r="G46" s="34">
        <f t="shared" ref="G46" si="108">SUM(G30:G45)</f>
        <v>4</v>
      </c>
      <c r="H46" s="35">
        <f t="shared" ref="H46" si="109">SUM(H30:H45)</f>
        <v>4</v>
      </c>
      <c r="I46" s="36">
        <f t="shared" ref="I46" si="110">SUM(I30:I45)</f>
        <v>4</v>
      </c>
      <c r="J46" s="37">
        <f t="shared" ref="J46" si="111">SUM(J30:J45)</f>
        <v>4</v>
      </c>
      <c r="K46" s="7">
        <f t="shared" ref="K46" si="112">SUM(K30:K45)</f>
        <v>4</v>
      </c>
      <c r="L46" s="38">
        <f t="shared" ref="L46" si="113">SUM(L30:L45)</f>
        <v>4</v>
      </c>
      <c r="M46" s="37">
        <f t="shared" ref="M46" si="114">SUM(M30:M45)</f>
        <v>4</v>
      </c>
      <c r="N46" s="7">
        <f t="shared" ref="N46" si="115">SUM(N30:N45)</f>
        <v>4</v>
      </c>
      <c r="O46" s="38">
        <f t="shared" ref="O46" si="116">SUM(O30:O45)</f>
        <v>4</v>
      </c>
      <c r="P46" s="37">
        <f t="shared" ref="P46" si="117">SUM(P30:P45)</f>
        <v>4</v>
      </c>
      <c r="Q46" s="7">
        <f t="shared" ref="Q46" si="118">SUM(Q30:Q45)</f>
        <v>4</v>
      </c>
      <c r="R46" s="38">
        <f t="shared" ref="R46" si="119">SUM(R30:R45)</f>
        <v>4</v>
      </c>
      <c r="S46" s="37">
        <f t="shared" ref="S46" si="120">SUM(S30:S45)</f>
        <v>4</v>
      </c>
      <c r="T46" s="7">
        <f t="shared" ref="T46" si="121">SUM(T30:T45)</f>
        <v>4</v>
      </c>
      <c r="U46" s="38">
        <f t="shared" ref="U46" si="122">SUM(U30:U45)</f>
        <v>4</v>
      </c>
      <c r="V46" s="37">
        <f t="shared" ref="V46" si="123">SUM(V30:V45)</f>
        <v>4</v>
      </c>
      <c r="W46" s="7">
        <f t="shared" ref="W46" si="124">SUM(W30:W45)</f>
        <v>4</v>
      </c>
      <c r="X46" s="38">
        <f t="shared" ref="X46" si="125">SUM(X30:X45)</f>
        <v>4</v>
      </c>
      <c r="Y46" s="37">
        <f t="shared" ref="Y46" si="126">SUM(Y30:Y45)</f>
        <v>4</v>
      </c>
      <c r="Z46" s="7">
        <f t="shared" ref="Z46" si="127">SUM(Z30:Z45)</f>
        <v>4</v>
      </c>
      <c r="AA46" s="38">
        <f t="shared" ref="AA46" si="128">SUM(AA30:AA45)</f>
        <v>4</v>
      </c>
      <c r="AB46" s="37">
        <f t="shared" ref="AB46" si="129">SUM(AB30:AB45)</f>
        <v>4</v>
      </c>
      <c r="AC46" s="7">
        <f t="shared" ref="AC46" si="130">SUM(AC30:AC45)</f>
        <v>4</v>
      </c>
      <c r="AD46" s="38">
        <f t="shared" ref="AD46" si="131">SUM(AD30:AD45)</f>
        <v>4</v>
      </c>
      <c r="AE46" s="37">
        <f t="shared" ref="AE46" si="132">SUM(AE30:AE45)</f>
        <v>0</v>
      </c>
      <c r="AF46" s="7">
        <f t="shared" ref="AF46" si="133">SUM(AF30:AF45)</f>
        <v>0</v>
      </c>
      <c r="AG46" s="38">
        <f t="shared" ref="AG46" si="134">SUM(AG30:AG45)</f>
        <v>0</v>
      </c>
      <c r="AH46" s="7">
        <f t="shared" ref="AH46" si="135">SUM(AH30:AH45)</f>
        <v>0</v>
      </c>
      <c r="AI46" s="7">
        <f t="shared" ref="AI46" si="136">SUM(AI30:AI45)</f>
        <v>0</v>
      </c>
      <c r="AJ46" s="7">
        <f t="shared" ref="AJ46" si="137">SUM(AJ30:AJ45)</f>
        <v>0</v>
      </c>
      <c r="AK46" s="7">
        <f t="shared" ref="AK46" si="138">SUM(AK30:AK45)</f>
        <v>0</v>
      </c>
      <c r="AL46" s="7">
        <f t="shared" ref="AL46" si="139">SUM(AL30:AL45)</f>
        <v>0</v>
      </c>
      <c r="AM46" s="7">
        <f t="shared" ref="AM46" si="140">SUM(AM30:AM45)</f>
        <v>0</v>
      </c>
      <c r="AN46" s="7">
        <f t="shared" ref="AN46" si="141">SUM(AN30:AN45)</f>
        <v>0</v>
      </c>
      <c r="AO46" s="7">
        <f t="shared" ref="AO46" si="142">SUM(AO30:AO45)</f>
        <v>0</v>
      </c>
      <c r="AP46" s="7">
        <f t="shared" ref="AP46" si="143">SUM(AP30:AP45)</f>
        <v>0</v>
      </c>
      <c r="AQ46" s="7">
        <f t="shared" ref="AQ46" si="144">SUM(AQ30:AQ45)</f>
        <v>0</v>
      </c>
      <c r="AR46" s="7">
        <f t="shared" ref="AR46" si="145">SUM(AR30:AR45)</f>
        <v>0</v>
      </c>
      <c r="AS46" s="7">
        <f t="shared" ref="AS46" si="146">SUM(AS30:AS45)</f>
        <v>0</v>
      </c>
      <c r="AT46" s="7">
        <f t="shared" ref="AT46" si="147">SUM(AT30:AT45)</f>
        <v>0</v>
      </c>
      <c r="AU46" s="7">
        <f t="shared" ref="AU46" si="148">SUM(AU30:AU45)</f>
        <v>0</v>
      </c>
      <c r="AV46" s="7">
        <f t="shared" ref="AV46" si="149">SUM(AV30:AV45)</f>
        <v>0</v>
      </c>
      <c r="AW46" s="7">
        <f t="shared" ref="AW46" si="150">SUM(AW30:AW45)</f>
        <v>0</v>
      </c>
      <c r="AX46" s="7">
        <f t="shared" ref="AX46" si="151">SUM(AX30:AX45)</f>
        <v>0</v>
      </c>
      <c r="AY46" s="7">
        <f t="shared" ref="AY46" si="152">SUM(AY30:AY45)</f>
        <v>0</v>
      </c>
      <c r="AZ46" s="7">
        <f t="shared" ref="AZ46" si="153">SUM(AZ30:AZ45)</f>
        <v>0</v>
      </c>
      <c r="BA46" s="7">
        <f t="shared" ref="BA46" si="154">SUM(BA30:BA45)</f>
        <v>0</v>
      </c>
      <c r="BB46" s="7">
        <f t="shared" ref="BB46" si="155">SUM(BB30:BB45)</f>
        <v>0</v>
      </c>
      <c r="BC46" s="7">
        <f t="shared" ref="BC46" si="156">SUM(BC30:BC45)</f>
        <v>0</v>
      </c>
      <c r="BD46" s="7">
        <f t="shared" ref="BD46" si="157">SUM(BD30:BD45)</f>
        <v>0</v>
      </c>
      <c r="BE46" s="7">
        <f t="shared" ref="BE46" si="158">SUM(BE30:BE45)</f>
        <v>0</v>
      </c>
      <c r="BF46" s="7">
        <f t="shared" ref="BF46" si="159">SUM(BF30:BF45)</f>
        <v>0</v>
      </c>
      <c r="BG46" s="7">
        <f t="shared" ref="BG46" si="160">SUM(BG30:BG45)</f>
        <v>0</v>
      </c>
      <c r="BH46" s="7">
        <f t="shared" ref="BH46" si="161">SUM(BH30:BH45)</f>
        <v>0</v>
      </c>
      <c r="BI46" s="7">
        <f t="shared" ref="BI46" si="162">SUM(BI30:BI45)</f>
        <v>0</v>
      </c>
      <c r="BJ46" s="7">
        <f t="shared" ref="BJ46" si="163">SUM(BJ30:BJ45)</f>
        <v>0</v>
      </c>
      <c r="BK46" s="7">
        <f t="shared" ref="BK46" si="164">SUM(BK30:BK45)</f>
        <v>0</v>
      </c>
      <c r="BL46" s="7">
        <f t="shared" ref="BL46" si="165">SUM(BL30:BL45)</f>
        <v>0</v>
      </c>
      <c r="BM46" s="7">
        <f t="shared" ref="BM46" si="166">SUM(BM30:BM45)</f>
        <v>0</v>
      </c>
      <c r="BN46" s="7">
        <f t="shared" ref="BN46" si="167">SUM(BN30:BN45)</f>
        <v>0</v>
      </c>
      <c r="BO46" s="7">
        <f t="shared" ref="BO46" si="168">SUM(BO30:BO45)</f>
        <v>0</v>
      </c>
      <c r="BP46" s="7">
        <f t="shared" ref="BP46" si="169">SUM(BP30:BP45)</f>
        <v>0</v>
      </c>
      <c r="BQ46" s="7">
        <f t="shared" ref="BQ46" si="170">SUM(BQ30:BQ45)</f>
        <v>0</v>
      </c>
      <c r="BR46" s="7">
        <f t="shared" ref="BR46" si="171">SUM(BR30:BR45)</f>
        <v>0</v>
      </c>
      <c r="BS46" s="7">
        <f t="shared" ref="BS46" si="172">SUM(BS30:BS45)</f>
        <v>0</v>
      </c>
      <c r="BT46" s="7">
        <f t="shared" ref="BT46" si="173">SUM(BT30:BT45)</f>
        <v>0</v>
      </c>
      <c r="BU46" s="7">
        <f t="shared" ref="BU46" si="174">SUM(BU30:BU45)</f>
        <v>0</v>
      </c>
      <c r="BV46" s="7">
        <f t="shared" ref="BV46" si="175">SUM(BV30:BV45)</f>
        <v>0</v>
      </c>
      <c r="BW46" s="7">
        <f t="shared" ref="BW46" si="176">SUM(BW30:BW45)</f>
        <v>0</v>
      </c>
      <c r="BX46" s="7">
        <f t="shared" ref="BX46" si="177">SUM(BX30:BX45)</f>
        <v>0</v>
      </c>
      <c r="BY46" s="7">
        <f t="shared" ref="BY46" si="178">SUM(BY30:BY45)</f>
        <v>0</v>
      </c>
      <c r="BZ46" s="7">
        <f t="shared" ref="BZ46" si="179">SUM(BZ30:BZ45)</f>
        <v>0</v>
      </c>
      <c r="CA46" s="7">
        <f t="shared" ref="CA46" si="180">SUM(CA30:CA45)</f>
        <v>0</v>
      </c>
      <c r="CB46" s="7">
        <f t="shared" ref="CB46" si="181">SUM(CB30:CB45)</f>
        <v>0</v>
      </c>
      <c r="CC46" s="7">
        <f t="shared" ref="CC46" si="182">SUM(CC30:CC45)</f>
        <v>0</v>
      </c>
      <c r="CD46" s="7">
        <f t="shared" ref="CD46" si="183">SUM(CD30:CD45)</f>
        <v>0</v>
      </c>
      <c r="CE46" s="7">
        <f t="shared" ref="CE46" si="184">SUM(CE30:CE45)</f>
        <v>0</v>
      </c>
      <c r="CF46" s="7">
        <f t="shared" ref="CF46" si="185">SUM(CF30:CF45)</f>
        <v>0</v>
      </c>
      <c r="CG46" s="7">
        <f t="shared" ref="CG46" si="186">SUM(CG30:CG45)</f>
        <v>0</v>
      </c>
      <c r="CH46" s="7">
        <f t="shared" ref="CH46" si="187">SUM(CH30:CH45)</f>
        <v>0</v>
      </c>
      <c r="CI46" s="7">
        <f t="shared" ref="CI46" si="188">SUM(CI30:CI45)</f>
        <v>0</v>
      </c>
      <c r="CJ46" s="7">
        <f t="shared" ref="CJ46" si="189">SUM(CJ30:CJ45)</f>
        <v>0</v>
      </c>
      <c r="CK46" s="7">
        <f t="shared" ref="CK46" si="190">SUM(CK30:CK45)</f>
        <v>0</v>
      </c>
      <c r="CL46" s="7">
        <f t="shared" ref="CL46" si="191">SUM(CL30:CL45)</f>
        <v>0</v>
      </c>
      <c r="CM46" s="7">
        <f t="shared" ref="CM46" si="192">SUM(CM30:CM45)</f>
        <v>0</v>
      </c>
      <c r="CN46" s="7">
        <f t="shared" ref="CN46" si="193">SUM(CN30:CN45)</f>
        <v>0</v>
      </c>
      <c r="CO46" s="7">
        <f t="shared" ref="CO46" si="194">SUM(CO30:CO45)</f>
        <v>0</v>
      </c>
      <c r="CP46" s="7">
        <f t="shared" ref="CP46" si="195">SUM(CP30:CP45)</f>
        <v>0</v>
      </c>
      <c r="CQ46" s="7">
        <f t="shared" ref="CQ46" si="196">SUM(CQ30:CQ45)</f>
        <v>0</v>
      </c>
      <c r="CR46" s="7">
        <f t="shared" ref="CR46" si="197">SUM(CR30:CR45)</f>
        <v>0</v>
      </c>
      <c r="CS46" s="7">
        <f t="shared" ref="CS46" si="198">SUM(CS30:CS45)</f>
        <v>0</v>
      </c>
      <c r="CT46" s="7">
        <f t="shared" ref="CT46" si="199">SUM(CT30:CT45)</f>
        <v>0</v>
      </c>
      <c r="CU46" s="7">
        <f t="shared" ref="CU46" si="200">SUM(CU30:CU45)</f>
        <v>0</v>
      </c>
      <c r="CV46" s="7">
        <f t="shared" ref="CV46" si="201">SUM(CV30:CV45)</f>
        <v>0</v>
      </c>
      <c r="CW46" s="7">
        <f t="shared" ref="CW46" si="202">SUM(CW30:CW45)</f>
        <v>0</v>
      </c>
      <c r="CX46" s="7">
        <f t="shared" ref="CX46" si="203">SUM(CX30:CX45)</f>
        <v>0</v>
      </c>
      <c r="CY46" s="7">
        <f t="shared" ref="CY46" si="204">SUM(CY30:CY45)</f>
        <v>0</v>
      </c>
      <c r="CZ46" s="7">
        <f t="shared" ref="CZ46" si="205">SUM(CZ30:CZ45)</f>
        <v>0</v>
      </c>
      <c r="DA46" s="7">
        <f t="shared" ref="DA46" si="206">SUM(DA30:DA45)</f>
        <v>0</v>
      </c>
      <c r="DB46" s="7">
        <f t="shared" ref="DB46" si="207">SUM(DB30:DB45)</f>
        <v>0</v>
      </c>
      <c r="DC46" s="7">
        <f t="shared" ref="DC46" si="208">SUM(DC30:DC45)</f>
        <v>0</v>
      </c>
      <c r="DD46" s="7">
        <f t="shared" ref="DD46" si="209">SUM(DD30:DD45)</f>
        <v>0</v>
      </c>
      <c r="DE46" s="7">
        <f t="shared" ref="DE46" si="210">SUM(DE30:DE45)</f>
        <v>0</v>
      </c>
      <c r="DF46" s="7">
        <f t="shared" ref="DF46" si="211">SUM(DF30:DF45)</f>
        <v>0</v>
      </c>
      <c r="DG46" s="13">
        <f t="shared" ref="DG46" si="212">SUM(DG30:DG45)</f>
        <v>0</v>
      </c>
      <c r="DH46" s="65">
        <f>SUM(DH30:DH45)</f>
        <v>96</v>
      </c>
    </row>
    <row r="47" spans="2:112" ht="15.75" thickTop="1" x14ac:dyDescent="0.25">
      <c r="B47" s="130" t="s">
        <v>27</v>
      </c>
      <c r="C47" s="131"/>
      <c r="D47" s="121" t="s">
        <v>30</v>
      </c>
      <c r="E47" s="122"/>
      <c r="F47" s="123"/>
      <c r="G47" s="146" t="s">
        <v>31</v>
      </c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7"/>
      <c r="BC47" s="147"/>
      <c r="BD47" s="147"/>
      <c r="BE47" s="147"/>
      <c r="BF47" s="147"/>
      <c r="BG47" s="147"/>
      <c r="BH47" s="147"/>
      <c r="BI47" s="147"/>
      <c r="BJ47" s="147"/>
      <c r="BK47" s="147"/>
      <c r="BL47" s="147"/>
      <c r="BM47" s="147"/>
      <c r="BN47" s="147"/>
      <c r="BO47" s="147"/>
      <c r="BP47" s="147"/>
      <c r="BQ47" s="147"/>
      <c r="BR47" s="147"/>
      <c r="BS47" s="147"/>
      <c r="BT47" s="147"/>
      <c r="BU47" s="147"/>
      <c r="BV47" s="147"/>
      <c r="BW47" s="147"/>
      <c r="BX47" s="147"/>
      <c r="BY47" s="147"/>
      <c r="BZ47" s="147"/>
      <c r="CA47" s="147"/>
      <c r="CB47" s="147"/>
      <c r="CC47" s="147"/>
      <c r="CD47" s="147"/>
      <c r="CE47" s="147"/>
      <c r="CF47" s="147"/>
      <c r="CG47" s="147"/>
      <c r="CH47" s="147"/>
      <c r="CI47" s="147"/>
      <c r="CJ47" s="147"/>
      <c r="CK47" s="147"/>
      <c r="CL47" s="147"/>
      <c r="CM47" s="147"/>
      <c r="CN47" s="147"/>
      <c r="CO47" s="147"/>
      <c r="CP47" s="147"/>
      <c r="CQ47" s="147"/>
      <c r="CR47" s="147"/>
      <c r="CS47" s="147"/>
      <c r="CT47" s="147"/>
      <c r="CU47" s="147"/>
      <c r="CV47" s="147"/>
      <c r="CW47" s="147"/>
      <c r="CX47" s="147"/>
      <c r="CY47" s="147"/>
      <c r="CZ47" s="147"/>
      <c r="DA47" s="147"/>
      <c r="DB47" s="147"/>
      <c r="DC47" s="147"/>
      <c r="DD47" s="147"/>
      <c r="DE47" s="147"/>
      <c r="DF47" s="147"/>
      <c r="DG47" s="148"/>
      <c r="DH47" s="157" t="s">
        <v>63</v>
      </c>
    </row>
    <row r="48" spans="2:112" x14ac:dyDescent="0.25">
      <c r="B48" s="132"/>
      <c r="C48" s="133"/>
      <c r="D48" s="124"/>
      <c r="E48" s="125"/>
      <c r="F48" s="126"/>
      <c r="G48" s="150">
        <v>46174</v>
      </c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151"/>
      <c r="AE48" s="151"/>
      <c r="AF48" s="151"/>
      <c r="AG48" s="151"/>
      <c r="AH48" s="151"/>
      <c r="AI48" s="151"/>
      <c r="AJ48" s="151"/>
      <c r="AK48" s="151"/>
      <c r="AL48" s="151"/>
      <c r="AM48" s="151"/>
      <c r="AN48" s="151"/>
      <c r="AO48" s="151"/>
      <c r="AP48" s="151"/>
      <c r="AQ48" s="151"/>
      <c r="AR48" s="151"/>
      <c r="AS48" s="151"/>
      <c r="AT48" s="151"/>
      <c r="AU48" s="151"/>
      <c r="AV48" s="151"/>
      <c r="AW48" s="151"/>
      <c r="AX48" s="151"/>
      <c r="AY48" s="151"/>
      <c r="AZ48" s="151"/>
      <c r="BA48" s="151"/>
      <c r="BB48" s="151"/>
      <c r="BC48" s="151"/>
      <c r="BD48" s="151"/>
      <c r="BE48" s="151"/>
      <c r="BF48" s="151"/>
      <c r="BG48" s="151"/>
      <c r="BH48" s="151"/>
      <c r="BI48" s="151"/>
      <c r="BJ48" s="151"/>
      <c r="BK48" s="151"/>
      <c r="BL48" s="151"/>
      <c r="BM48" s="151"/>
      <c r="BN48" s="151"/>
      <c r="BO48" s="151"/>
      <c r="BP48" s="151"/>
      <c r="BQ48" s="151"/>
      <c r="BR48" s="151"/>
      <c r="BS48" s="151"/>
      <c r="BT48" s="151"/>
      <c r="BU48" s="151"/>
      <c r="BV48" s="151"/>
      <c r="BW48" s="151"/>
      <c r="BX48" s="151"/>
      <c r="BY48" s="151"/>
      <c r="BZ48" s="151"/>
      <c r="CA48" s="151"/>
      <c r="CB48" s="151"/>
      <c r="CC48" s="151"/>
      <c r="CD48" s="151"/>
      <c r="CE48" s="151"/>
      <c r="CF48" s="151"/>
      <c r="CG48" s="151"/>
      <c r="CH48" s="151"/>
      <c r="CI48" s="151"/>
      <c r="CJ48" s="151"/>
      <c r="CK48" s="151"/>
      <c r="CL48" s="151"/>
      <c r="CM48" s="151"/>
      <c r="CN48" s="151"/>
      <c r="CO48" s="151"/>
      <c r="CP48" s="151"/>
      <c r="CQ48" s="151"/>
      <c r="CR48" s="151"/>
      <c r="CS48" s="152">
        <v>46204</v>
      </c>
      <c r="CT48" s="153"/>
      <c r="CU48" s="153"/>
      <c r="CV48" s="153"/>
      <c r="CW48" s="153"/>
      <c r="CX48" s="153"/>
      <c r="CY48" s="153"/>
      <c r="CZ48" s="153"/>
      <c r="DA48" s="153"/>
      <c r="DB48" s="153"/>
      <c r="DC48" s="153"/>
      <c r="DD48" s="153"/>
      <c r="DE48" s="153"/>
      <c r="DF48" s="153"/>
      <c r="DG48" s="153"/>
      <c r="DH48" s="158"/>
    </row>
    <row r="49" spans="2:112" ht="32.25" customHeight="1" x14ac:dyDescent="0.25">
      <c r="B49" s="134"/>
      <c r="C49" s="135"/>
      <c r="D49" s="136" t="s">
        <v>21</v>
      </c>
      <c r="E49" s="137"/>
      <c r="F49" s="138"/>
      <c r="G49" s="127" t="s">
        <v>32</v>
      </c>
      <c r="H49" s="120"/>
      <c r="I49" s="120"/>
      <c r="J49" s="120" t="s">
        <v>33</v>
      </c>
      <c r="K49" s="120"/>
      <c r="L49" s="120"/>
      <c r="M49" s="120" t="s">
        <v>34</v>
      </c>
      <c r="N49" s="120"/>
      <c r="O49" s="120"/>
      <c r="P49" s="120" t="s">
        <v>35</v>
      </c>
      <c r="Q49" s="120"/>
      <c r="R49" s="120"/>
      <c r="S49" s="120" t="s">
        <v>36</v>
      </c>
      <c r="T49" s="120"/>
      <c r="U49" s="120"/>
      <c r="V49" s="120" t="s">
        <v>37</v>
      </c>
      <c r="W49" s="120"/>
      <c r="X49" s="120"/>
      <c r="Y49" s="120" t="s">
        <v>38</v>
      </c>
      <c r="Z49" s="120"/>
      <c r="AA49" s="120"/>
      <c r="AB49" s="120" t="s">
        <v>40</v>
      </c>
      <c r="AC49" s="120"/>
      <c r="AD49" s="120"/>
      <c r="AE49" s="120" t="s">
        <v>41</v>
      </c>
      <c r="AF49" s="120"/>
      <c r="AG49" s="120"/>
      <c r="AH49" s="120" t="s">
        <v>42</v>
      </c>
      <c r="AI49" s="120"/>
      <c r="AJ49" s="120"/>
      <c r="AK49" s="120" t="s">
        <v>43</v>
      </c>
      <c r="AL49" s="120"/>
      <c r="AM49" s="120"/>
      <c r="AN49" s="120" t="s">
        <v>44</v>
      </c>
      <c r="AO49" s="120"/>
      <c r="AP49" s="120"/>
      <c r="AQ49" s="120" t="s">
        <v>45</v>
      </c>
      <c r="AR49" s="120"/>
      <c r="AS49" s="120"/>
      <c r="AT49" s="120" t="s">
        <v>46</v>
      </c>
      <c r="AU49" s="120"/>
      <c r="AV49" s="120"/>
      <c r="AW49" s="120" t="s">
        <v>47</v>
      </c>
      <c r="AX49" s="120"/>
      <c r="AY49" s="120"/>
      <c r="AZ49" s="120" t="s">
        <v>48</v>
      </c>
      <c r="BA49" s="120"/>
      <c r="BB49" s="120"/>
      <c r="BC49" s="120" t="s">
        <v>49</v>
      </c>
      <c r="BD49" s="120"/>
      <c r="BE49" s="120"/>
      <c r="BF49" s="120" t="s">
        <v>50</v>
      </c>
      <c r="BG49" s="120"/>
      <c r="BH49" s="120"/>
      <c r="BI49" s="120" t="s">
        <v>51</v>
      </c>
      <c r="BJ49" s="120"/>
      <c r="BK49" s="120"/>
      <c r="BL49" s="120" t="s">
        <v>52</v>
      </c>
      <c r="BM49" s="120"/>
      <c r="BN49" s="120"/>
      <c r="BO49" s="120" t="s">
        <v>53</v>
      </c>
      <c r="BP49" s="120"/>
      <c r="BQ49" s="120"/>
      <c r="BR49" s="120" t="s">
        <v>54</v>
      </c>
      <c r="BS49" s="120"/>
      <c r="BT49" s="120"/>
      <c r="BU49" s="120" t="s">
        <v>55</v>
      </c>
      <c r="BV49" s="120"/>
      <c r="BW49" s="120"/>
      <c r="BX49" s="120" t="s">
        <v>56</v>
      </c>
      <c r="BY49" s="120"/>
      <c r="BZ49" s="120"/>
      <c r="CA49" s="120" t="s">
        <v>57</v>
      </c>
      <c r="CB49" s="120"/>
      <c r="CC49" s="120"/>
      <c r="CD49" s="120" t="s">
        <v>58</v>
      </c>
      <c r="CE49" s="120"/>
      <c r="CF49" s="120"/>
      <c r="CG49" s="120" t="s">
        <v>59</v>
      </c>
      <c r="CH49" s="120"/>
      <c r="CI49" s="120"/>
      <c r="CJ49" s="120" t="s">
        <v>60</v>
      </c>
      <c r="CK49" s="120"/>
      <c r="CL49" s="120"/>
      <c r="CM49" s="120" t="s">
        <v>61</v>
      </c>
      <c r="CN49" s="120"/>
      <c r="CO49" s="120"/>
      <c r="CP49" s="120" t="s">
        <v>62</v>
      </c>
      <c r="CQ49" s="120"/>
      <c r="CR49" s="120"/>
      <c r="CS49" s="120" t="s">
        <v>32</v>
      </c>
      <c r="CT49" s="120"/>
      <c r="CU49" s="120"/>
      <c r="CV49" s="120" t="s">
        <v>33</v>
      </c>
      <c r="CW49" s="120"/>
      <c r="CX49" s="120"/>
      <c r="CY49" s="120" t="s">
        <v>34</v>
      </c>
      <c r="CZ49" s="120"/>
      <c r="DA49" s="120"/>
      <c r="DB49" s="120" t="s">
        <v>35</v>
      </c>
      <c r="DC49" s="120"/>
      <c r="DD49" s="120"/>
      <c r="DE49" s="120" t="s">
        <v>36</v>
      </c>
      <c r="DF49" s="120"/>
      <c r="DG49" s="149"/>
      <c r="DH49" s="159"/>
    </row>
    <row r="50" spans="2:112" ht="30" x14ac:dyDescent="0.25">
      <c r="B50" s="2" t="s">
        <v>0</v>
      </c>
      <c r="C50" s="10" t="s">
        <v>1</v>
      </c>
      <c r="D50" s="26" t="s">
        <v>2</v>
      </c>
      <c r="E50" s="27" t="s">
        <v>3</v>
      </c>
      <c r="F50" s="28" t="s">
        <v>4</v>
      </c>
      <c r="G50" s="24" t="s">
        <v>2</v>
      </c>
      <c r="H50" s="25" t="s">
        <v>3</v>
      </c>
      <c r="I50" s="25" t="s">
        <v>4</v>
      </c>
      <c r="J50" s="24" t="s">
        <v>2</v>
      </c>
      <c r="K50" s="25" t="s">
        <v>3</v>
      </c>
      <c r="L50" s="25" t="s">
        <v>4</v>
      </c>
      <c r="M50" s="24" t="s">
        <v>2</v>
      </c>
      <c r="N50" s="25" t="s">
        <v>3</v>
      </c>
      <c r="O50" s="25" t="s">
        <v>4</v>
      </c>
      <c r="P50" s="24" t="s">
        <v>2</v>
      </c>
      <c r="Q50" s="25" t="s">
        <v>3</v>
      </c>
      <c r="R50" s="25" t="s">
        <v>4</v>
      </c>
      <c r="S50" s="24" t="s">
        <v>2</v>
      </c>
      <c r="T50" s="25" t="s">
        <v>3</v>
      </c>
      <c r="U50" s="25" t="s">
        <v>4</v>
      </c>
      <c r="V50" s="24" t="s">
        <v>2</v>
      </c>
      <c r="W50" s="25" t="s">
        <v>3</v>
      </c>
      <c r="X50" s="25" t="s">
        <v>4</v>
      </c>
      <c r="Y50" s="24" t="s">
        <v>2</v>
      </c>
      <c r="Z50" s="25" t="s">
        <v>3</v>
      </c>
      <c r="AA50" s="25" t="s">
        <v>4</v>
      </c>
      <c r="AB50" s="24" t="s">
        <v>2</v>
      </c>
      <c r="AC50" s="25" t="s">
        <v>3</v>
      </c>
      <c r="AD50" s="25" t="s">
        <v>4</v>
      </c>
      <c r="AE50" s="24" t="s">
        <v>2</v>
      </c>
      <c r="AF50" s="25" t="s">
        <v>3</v>
      </c>
      <c r="AG50" s="25" t="s">
        <v>4</v>
      </c>
      <c r="AH50" s="24" t="s">
        <v>2</v>
      </c>
      <c r="AI50" s="25" t="s">
        <v>3</v>
      </c>
      <c r="AJ50" s="25" t="s">
        <v>4</v>
      </c>
      <c r="AK50" s="24" t="s">
        <v>2</v>
      </c>
      <c r="AL50" s="25" t="s">
        <v>3</v>
      </c>
      <c r="AM50" s="25" t="s">
        <v>4</v>
      </c>
      <c r="AN50" s="24" t="s">
        <v>2</v>
      </c>
      <c r="AO50" s="25" t="s">
        <v>3</v>
      </c>
      <c r="AP50" s="25" t="s">
        <v>4</v>
      </c>
      <c r="AQ50" s="24" t="s">
        <v>2</v>
      </c>
      <c r="AR50" s="25" t="s">
        <v>3</v>
      </c>
      <c r="AS50" s="25" t="s">
        <v>4</v>
      </c>
      <c r="AT50" s="24" t="s">
        <v>2</v>
      </c>
      <c r="AU50" s="25" t="s">
        <v>3</v>
      </c>
      <c r="AV50" s="25" t="s">
        <v>4</v>
      </c>
      <c r="AW50" s="24" t="s">
        <v>2</v>
      </c>
      <c r="AX50" s="25" t="s">
        <v>3</v>
      </c>
      <c r="AY50" s="25" t="s">
        <v>4</v>
      </c>
      <c r="AZ50" s="24" t="s">
        <v>2</v>
      </c>
      <c r="BA50" s="25" t="s">
        <v>3</v>
      </c>
      <c r="BB50" s="25" t="s">
        <v>4</v>
      </c>
      <c r="BC50" s="24" t="s">
        <v>2</v>
      </c>
      <c r="BD50" s="25" t="s">
        <v>3</v>
      </c>
      <c r="BE50" s="25" t="s">
        <v>4</v>
      </c>
      <c r="BF50" s="24" t="s">
        <v>2</v>
      </c>
      <c r="BG50" s="25" t="s">
        <v>3</v>
      </c>
      <c r="BH50" s="25" t="s">
        <v>4</v>
      </c>
      <c r="BI50" s="24" t="s">
        <v>2</v>
      </c>
      <c r="BJ50" s="25" t="s">
        <v>3</v>
      </c>
      <c r="BK50" s="25" t="s">
        <v>4</v>
      </c>
      <c r="BL50" s="24" t="s">
        <v>2</v>
      </c>
      <c r="BM50" s="25" t="s">
        <v>3</v>
      </c>
      <c r="BN50" s="25" t="s">
        <v>4</v>
      </c>
      <c r="BO50" s="24" t="s">
        <v>2</v>
      </c>
      <c r="BP50" s="25" t="s">
        <v>3</v>
      </c>
      <c r="BQ50" s="25" t="s">
        <v>4</v>
      </c>
      <c r="BR50" s="24" t="s">
        <v>2</v>
      </c>
      <c r="BS50" s="25" t="s">
        <v>3</v>
      </c>
      <c r="BT50" s="25" t="s">
        <v>4</v>
      </c>
      <c r="BU50" s="24" t="s">
        <v>2</v>
      </c>
      <c r="BV50" s="25" t="s">
        <v>3</v>
      </c>
      <c r="BW50" s="25" t="s">
        <v>4</v>
      </c>
      <c r="BX50" s="24" t="s">
        <v>2</v>
      </c>
      <c r="BY50" s="25" t="s">
        <v>3</v>
      </c>
      <c r="BZ50" s="25" t="s">
        <v>4</v>
      </c>
      <c r="CA50" s="24" t="s">
        <v>2</v>
      </c>
      <c r="CB50" s="25" t="s">
        <v>3</v>
      </c>
      <c r="CC50" s="25" t="s">
        <v>4</v>
      </c>
      <c r="CD50" s="24" t="s">
        <v>2</v>
      </c>
      <c r="CE50" s="25" t="s">
        <v>3</v>
      </c>
      <c r="CF50" s="25" t="s">
        <v>4</v>
      </c>
      <c r="CG50" s="24" t="s">
        <v>2</v>
      </c>
      <c r="CH50" s="25" t="s">
        <v>3</v>
      </c>
      <c r="CI50" s="25" t="s">
        <v>4</v>
      </c>
      <c r="CJ50" s="24" t="s">
        <v>2</v>
      </c>
      <c r="CK50" s="25" t="s">
        <v>3</v>
      </c>
      <c r="CL50" s="25" t="s">
        <v>4</v>
      </c>
      <c r="CM50" s="24" t="s">
        <v>2</v>
      </c>
      <c r="CN50" s="25" t="s">
        <v>3</v>
      </c>
      <c r="CO50" s="25" t="s">
        <v>4</v>
      </c>
      <c r="CP50" s="24" t="s">
        <v>2</v>
      </c>
      <c r="CQ50" s="25" t="s">
        <v>3</v>
      </c>
      <c r="CR50" s="25" t="s">
        <v>4</v>
      </c>
      <c r="CS50" s="24" t="s">
        <v>2</v>
      </c>
      <c r="CT50" s="25" t="s">
        <v>3</v>
      </c>
      <c r="CU50" s="25" t="s">
        <v>4</v>
      </c>
      <c r="CV50" s="24" t="s">
        <v>2</v>
      </c>
      <c r="CW50" s="25" t="s">
        <v>3</v>
      </c>
      <c r="CX50" s="25" t="s">
        <v>4</v>
      </c>
      <c r="CY50" s="24" t="s">
        <v>2</v>
      </c>
      <c r="CZ50" s="25" t="s">
        <v>3</v>
      </c>
      <c r="DA50" s="25" t="s">
        <v>4</v>
      </c>
      <c r="DB50" s="24" t="s">
        <v>2</v>
      </c>
      <c r="DC50" s="25" t="s">
        <v>3</v>
      </c>
      <c r="DD50" s="25" t="s">
        <v>4</v>
      </c>
      <c r="DE50" s="24" t="s">
        <v>2</v>
      </c>
      <c r="DF50" s="25" t="s">
        <v>3</v>
      </c>
      <c r="DG50" s="25" t="s">
        <v>4</v>
      </c>
      <c r="DH50" s="67"/>
    </row>
    <row r="51" spans="2:112" x14ac:dyDescent="0.25">
      <c r="B51" s="8" t="s">
        <v>5</v>
      </c>
      <c r="C51" s="11">
        <v>24</v>
      </c>
      <c r="D51" s="16">
        <f t="shared" ref="D51:D58" si="213">C51</f>
        <v>24</v>
      </c>
      <c r="E51" s="4">
        <f t="shared" ref="E51:E58" si="214">C51</f>
        <v>24</v>
      </c>
      <c r="F51" s="17">
        <f>C51</f>
        <v>24</v>
      </c>
      <c r="G51" s="58"/>
      <c r="H51" s="45"/>
      <c r="I51" s="46"/>
      <c r="J51" s="44"/>
      <c r="K51" s="45"/>
      <c r="L51" s="46"/>
      <c r="M51" s="44"/>
      <c r="N51" s="45"/>
      <c r="O51" s="46"/>
      <c r="P51" s="44"/>
      <c r="Q51" s="45"/>
      <c r="R51" s="46"/>
      <c r="S51" s="44"/>
      <c r="T51" s="45"/>
      <c r="U51" s="46"/>
      <c r="V51" s="44"/>
      <c r="W51" s="45"/>
      <c r="X51" s="46"/>
      <c r="Y51" s="44"/>
      <c r="Z51" s="45"/>
      <c r="AA51" s="46"/>
      <c r="AB51" s="44"/>
      <c r="AC51" s="45"/>
      <c r="AD51" s="46"/>
      <c r="AE51" s="44"/>
      <c r="AF51" s="45"/>
      <c r="AG51" s="46"/>
      <c r="AH51" s="39"/>
      <c r="AI51" s="2"/>
      <c r="AJ51" s="33"/>
      <c r="AK51" s="39"/>
      <c r="AL51" s="2"/>
      <c r="AM51" s="33"/>
      <c r="AN51" s="39"/>
      <c r="AO51" s="2"/>
      <c r="AP51" s="33"/>
      <c r="AQ51" s="39"/>
      <c r="AR51" s="2"/>
      <c r="AS51" s="33"/>
      <c r="AT51" s="39"/>
      <c r="AU51" s="2"/>
      <c r="AV51" s="33"/>
      <c r="AW51" s="39"/>
      <c r="AX51" s="2"/>
      <c r="AY51" s="33"/>
      <c r="AZ51" s="39"/>
      <c r="BA51" s="2"/>
      <c r="BB51" s="33"/>
      <c r="BC51" s="39"/>
      <c r="BD51" s="2"/>
      <c r="BE51" s="33"/>
      <c r="BF51" s="39"/>
      <c r="BG51" s="2"/>
      <c r="BH51" s="33"/>
      <c r="BI51" s="39"/>
      <c r="BJ51" s="2"/>
      <c r="BK51" s="33"/>
      <c r="BL51" s="39"/>
      <c r="BM51" s="2"/>
      <c r="BN51" s="33"/>
      <c r="BO51" s="39"/>
      <c r="BP51" s="2"/>
      <c r="BQ51" s="33"/>
      <c r="BR51" s="39"/>
      <c r="BS51" s="2"/>
      <c r="BT51" s="33"/>
      <c r="BU51" s="39"/>
      <c r="BV51" s="2"/>
      <c r="BW51" s="33"/>
      <c r="BX51" s="39"/>
      <c r="BY51" s="2"/>
      <c r="BZ51" s="33"/>
      <c r="CA51" s="39"/>
      <c r="CB51" s="2"/>
      <c r="CC51" s="33"/>
      <c r="CD51" s="39"/>
      <c r="CE51" s="2"/>
      <c r="CF51" s="33"/>
      <c r="CG51" s="39">
        <v>4</v>
      </c>
      <c r="CH51" s="2">
        <v>4</v>
      </c>
      <c r="CI51" s="33">
        <v>4</v>
      </c>
      <c r="CJ51" s="39">
        <v>6</v>
      </c>
      <c r="CK51" s="2">
        <v>6</v>
      </c>
      <c r="CL51" s="33">
        <v>6</v>
      </c>
      <c r="CM51" s="39">
        <v>6</v>
      </c>
      <c r="CN51" s="2">
        <v>6</v>
      </c>
      <c r="CO51" s="33">
        <v>6</v>
      </c>
      <c r="CP51" s="39">
        <v>6</v>
      </c>
      <c r="CQ51" s="2">
        <v>6</v>
      </c>
      <c r="CR51" s="33">
        <v>6</v>
      </c>
      <c r="CS51" s="39">
        <v>2</v>
      </c>
      <c r="CT51" s="2">
        <v>2</v>
      </c>
      <c r="CU51" s="33">
        <v>2</v>
      </c>
      <c r="CV51" s="39"/>
      <c r="CW51" s="2"/>
      <c r="CX51" s="33"/>
      <c r="CY51" s="39"/>
      <c r="CZ51" s="2"/>
      <c r="DA51" s="33"/>
      <c r="DB51" s="39"/>
      <c r="DC51" s="2"/>
      <c r="DD51" s="33"/>
      <c r="DE51" s="39"/>
      <c r="DF51" s="2"/>
      <c r="DG51" s="2"/>
      <c r="DH51" s="66">
        <f>SUM(G51:DG51)</f>
        <v>72</v>
      </c>
    </row>
    <row r="52" spans="2:112" x14ac:dyDescent="0.25">
      <c r="B52" s="8" t="s">
        <v>22</v>
      </c>
      <c r="C52" s="11">
        <v>24</v>
      </c>
      <c r="D52" s="16">
        <f t="shared" si="213"/>
        <v>24</v>
      </c>
      <c r="E52" s="4">
        <f t="shared" si="214"/>
        <v>24</v>
      </c>
      <c r="F52" s="17">
        <f>C52</f>
        <v>24</v>
      </c>
      <c r="G52" s="58"/>
      <c r="H52" s="45"/>
      <c r="I52" s="46"/>
      <c r="J52" s="44"/>
      <c r="K52" s="45"/>
      <c r="L52" s="46"/>
      <c r="M52" s="44"/>
      <c r="N52" s="45"/>
      <c r="O52" s="46"/>
      <c r="P52" s="44"/>
      <c r="Q52" s="45"/>
      <c r="R52" s="46"/>
      <c r="S52" s="44"/>
      <c r="T52" s="45"/>
      <c r="U52" s="46"/>
      <c r="V52" s="44"/>
      <c r="W52" s="45"/>
      <c r="X52" s="46"/>
      <c r="Y52" s="44"/>
      <c r="Z52" s="45"/>
      <c r="AA52" s="46"/>
      <c r="AB52" s="44"/>
      <c r="AC52" s="45"/>
      <c r="AD52" s="46"/>
      <c r="AE52" s="44"/>
      <c r="AF52" s="45"/>
      <c r="AG52" s="46"/>
      <c r="AH52" s="39"/>
      <c r="AI52" s="2"/>
      <c r="AJ52" s="33"/>
      <c r="AK52" s="39"/>
      <c r="AL52" s="2"/>
      <c r="AM52" s="33"/>
      <c r="AN52" s="39"/>
      <c r="AO52" s="2"/>
      <c r="AP52" s="33"/>
      <c r="AQ52" s="39"/>
      <c r="AR52" s="2"/>
      <c r="AS52" s="33"/>
      <c r="AT52" s="39"/>
      <c r="AU52" s="2"/>
      <c r="AV52" s="33"/>
      <c r="AW52" s="39"/>
      <c r="AX52" s="2"/>
      <c r="AY52" s="33"/>
      <c r="AZ52" s="39"/>
      <c r="BA52" s="2"/>
      <c r="BB52" s="33"/>
      <c r="BC52" s="39"/>
      <c r="BD52" s="2"/>
      <c r="BE52" s="33"/>
      <c r="BF52" s="39"/>
      <c r="BG52" s="2"/>
      <c r="BH52" s="33"/>
      <c r="BI52" s="39"/>
      <c r="BJ52" s="2"/>
      <c r="BK52" s="33"/>
      <c r="BL52" s="39"/>
      <c r="BM52" s="2"/>
      <c r="BN52" s="33"/>
      <c r="BO52" s="39"/>
      <c r="BP52" s="2"/>
      <c r="BQ52" s="33"/>
      <c r="BR52" s="39"/>
      <c r="BS52" s="2"/>
      <c r="BT52" s="33"/>
      <c r="BU52" s="39"/>
      <c r="BV52" s="2"/>
      <c r="BW52" s="33"/>
      <c r="BX52" s="39"/>
      <c r="BY52" s="2"/>
      <c r="BZ52" s="33"/>
      <c r="CA52" s="39"/>
      <c r="CB52" s="2"/>
      <c r="CC52" s="33"/>
      <c r="CD52" s="39"/>
      <c r="CE52" s="2"/>
      <c r="CF52" s="33"/>
      <c r="CG52" s="39"/>
      <c r="CH52" s="2"/>
      <c r="CI52" s="33"/>
      <c r="CJ52" s="39"/>
      <c r="CK52" s="2"/>
      <c r="CL52" s="33"/>
      <c r="CM52" s="39"/>
      <c r="CN52" s="2"/>
      <c r="CO52" s="33"/>
      <c r="CP52" s="39"/>
      <c r="CQ52" s="2"/>
      <c r="CR52" s="33"/>
      <c r="CS52" s="39">
        <v>4</v>
      </c>
      <c r="CT52" s="2">
        <v>4</v>
      </c>
      <c r="CU52" s="33">
        <v>4</v>
      </c>
      <c r="CV52" s="39">
        <v>6</v>
      </c>
      <c r="CW52" s="2">
        <v>6</v>
      </c>
      <c r="CX52" s="33">
        <v>6</v>
      </c>
      <c r="CY52" s="39">
        <v>6</v>
      </c>
      <c r="CZ52" s="2">
        <v>6</v>
      </c>
      <c r="DA52" s="33">
        <v>6</v>
      </c>
      <c r="DB52" s="39">
        <v>6</v>
      </c>
      <c r="DC52" s="2">
        <v>6</v>
      </c>
      <c r="DD52" s="33">
        <v>6</v>
      </c>
      <c r="DE52" s="39">
        <v>2</v>
      </c>
      <c r="DF52" s="2">
        <v>2</v>
      </c>
      <c r="DG52" s="2">
        <v>2</v>
      </c>
      <c r="DH52" s="66">
        <f t="shared" ref="DH52:DH58" si="215">SUM(G52:DG52)</f>
        <v>72</v>
      </c>
    </row>
    <row r="53" spans="2:112" x14ac:dyDescent="0.25">
      <c r="B53" s="8" t="s">
        <v>23</v>
      </c>
      <c r="C53" s="11">
        <v>24</v>
      </c>
      <c r="D53" s="16">
        <f t="shared" si="213"/>
        <v>24</v>
      </c>
      <c r="E53" s="4">
        <f t="shared" si="214"/>
        <v>24</v>
      </c>
      <c r="F53" s="17">
        <f>C53</f>
        <v>24</v>
      </c>
      <c r="G53" s="58"/>
      <c r="H53" s="45"/>
      <c r="I53" s="46"/>
      <c r="J53" s="44"/>
      <c r="K53" s="45"/>
      <c r="L53" s="46"/>
      <c r="M53" s="44"/>
      <c r="N53" s="45"/>
      <c r="O53" s="46"/>
      <c r="P53" s="44"/>
      <c r="Q53" s="45"/>
      <c r="R53" s="46"/>
      <c r="S53" s="44"/>
      <c r="T53" s="45"/>
      <c r="U53" s="46"/>
      <c r="V53" s="44"/>
      <c r="W53" s="45"/>
      <c r="X53" s="46"/>
      <c r="Y53" s="44"/>
      <c r="Z53" s="45"/>
      <c r="AA53" s="46"/>
      <c r="AB53" s="44"/>
      <c r="AC53" s="45"/>
      <c r="AD53" s="46"/>
      <c r="AE53" s="44"/>
      <c r="AF53" s="45"/>
      <c r="AG53" s="46"/>
      <c r="AH53" s="39"/>
      <c r="AI53" s="2"/>
      <c r="AJ53" s="33"/>
      <c r="AK53" s="39"/>
      <c r="AL53" s="2"/>
      <c r="AM53" s="33"/>
      <c r="AN53" s="39"/>
      <c r="AO53" s="2"/>
      <c r="AP53" s="33"/>
      <c r="AQ53" s="39"/>
      <c r="AR53" s="2"/>
      <c r="AS53" s="33"/>
      <c r="AT53" s="39"/>
      <c r="AU53" s="2"/>
      <c r="AV53" s="33"/>
      <c r="AW53" s="39"/>
      <c r="AX53" s="2"/>
      <c r="AY53" s="33"/>
      <c r="AZ53" s="39"/>
      <c r="BA53" s="2"/>
      <c r="BB53" s="33"/>
      <c r="BC53" s="39"/>
      <c r="BD53" s="2"/>
      <c r="BE53" s="33"/>
      <c r="BF53" s="39"/>
      <c r="BG53" s="2"/>
      <c r="BH53" s="33"/>
      <c r="BI53" s="39"/>
      <c r="BJ53" s="2"/>
      <c r="BK53" s="33"/>
      <c r="BL53" s="39"/>
      <c r="BM53" s="2"/>
      <c r="BN53" s="33"/>
      <c r="BO53" s="39"/>
      <c r="BP53" s="2"/>
      <c r="BQ53" s="33"/>
      <c r="BR53" s="39"/>
      <c r="BS53" s="2"/>
      <c r="BT53" s="33"/>
      <c r="BU53" s="39">
        <v>4</v>
      </c>
      <c r="BV53" s="2">
        <v>4</v>
      </c>
      <c r="BW53" s="33">
        <v>4</v>
      </c>
      <c r="BX53" s="39">
        <v>6</v>
      </c>
      <c r="BY53" s="2">
        <v>6</v>
      </c>
      <c r="BZ53" s="33">
        <v>6</v>
      </c>
      <c r="CA53" s="39">
        <v>6</v>
      </c>
      <c r="CB53" s="2">
        <v>6</v>
      </c>
      <c r="CC53" s="33">
        <v>6</v>
      </c>
      <c r="CD53" s="39">
        <v>6</v>
      </c>
      <c r="CE53" s="2">
        <v>6</v>
      </c>
      <c r="CF53" s="33">
        <v>6</v>
      </c>
      <c r="CG53" s="39">
        <v>2</v>
      </c>
      <c r="CH53" s="2">
        <v>2</v>
      </c>
      <c r="CI53" s="33">
        <v>2</v>
      </c>
      <c r="CJ53" s="39"/>
      <c r="CK53" s="2"/>
      <c r="CL53" s="33"/>
      <c r="CM53" s="39"/>
      <c r="CN53" s="2"/>
      <c r="CO53" s="33"/>
      <c r="CP53" s="39"/>
      <c r="CQ53" s="2"/>
      <c r="CR53" s="33"/>
      <c r="CS53" s="39"/>
      <c r="CT53" s="2"/>
      <c r="CU53" s="33"/>
      <c r="CV53" s="39"/>
      <c r="CW53" s="2"/>
      <c r="CX53" s="33"/>
      <c r="CY53" s="39"/>
      <c r="CZ53" s="2"/>
      <c r="DA53" s="33"/>
      <c r="DB53" s="39"/>
      <c r="DC53" s="2"/>
      <c r="DD53" s="33"/>
      <c r="DE53" s="39"/>
      <c r="DF53" s="2"/>
      <c r="DG53" s="2"/>
      <c r="DH53" s="66">
        <f t="shared" si="215"/>
        <v>72</v>
      </c>
    </row>
    <row r="54" spans="2:112" x14ac:dyDescent="0.25">
      <c r="B54" s="8" t="s">
        <v>7</v>
      </c>
      <c r="C54" s="11">
        <v>24</v>
      </c>
      <c r="D54" s="16">
        <f t="shared" si="213"/>
        <v>24</v>
      </c>
      <c r="E54" s="4">
        <f t="shared" si="214"/>
        <v>24</v>
      </c>
      <c r="F54" s="22"/>
      <c r="G54" s="58"/>
      <c r="H54" s="45"/>
      <c r="I54" s="46"/>
      <c r="J54" s="44"/>
      <c r="K54" s="45"/>
      <c r="L54" s="46"/>
      <c r="M54" s="44"/>
      <c r="N54" s="45"/>
      <c r="O54" s="46"/>
      <c r="P54" s="44"/>
      <c r="Q54" s="45"/>
      <c r="R54" s="46"/>
      <c r="S54" s="44"/>
      <c r="T54" s="45"/>
      <c r="U54" s="46"/>
      <c r="V54" s="44"/>
      <c r="W54" s="45"/>
      <c r="X54" s="46"/>
      <c r="Y54" s="44"/>
      <c r="Z54" s="45"/>
      <c r="AA54" s="46"/>
      <c r="AB54" s="44"/>
      <c r="AC54" s="45"/>
      <c r="AD54" s="46"/>
      <c r="AE54" s="44"/>
      <c r="AF54" s="45"/>
      <c r="AG54" s="46"/>
      <c r="AH54" s="39"/>
      <c r="AI54" s="2"/>
      <c r="AJ54" s="33"/>
      <c r="AK54" s="39"/>
      <c r="AL54" s="2"/>
      <c r="AM54" s="33"/>
      <c r="AN54" s="39"/>
      <c r="AO54" s="2"/>
      <c r="AP54" s="33"/>
      <c r="AQ54" s="39"/>
      <c r="AR54" s="2"/>
      <c r="AS54" s="33"/>
      <c r="AT54" s="39"/>
      <c r="AU54" s="2"/>
      <c r="AV54" s="33"/>
      <c r="AW54" s="39"/>
      <c r="AX54" s="2"/>
      <c r="AY54" s="33"/>
      <c r="AZ54" s="39"/>
      <c r="BA54" s="2"/>
      <c r="BB54" s="33"/>
      <c r="BC54" s="39"/>
      <c r="BD54" s="2"/>
      <c r="BE54" s="33"/>
      <c r="BF54" s="39"/>
      <c r="BG54" s="2"/>
      <c r="BH54" s="33"/>
      <c r="BI54" s="39"/>
      <c r="BJ54" s="2"/>
      <c r="BK54" s="33"/>
      <c r="BL54" s="39">
        <v>3</v>
      </c>
      <c r="BM54" s="2">
        <v>3</v>
      </c>
      <c r="BN54" s="33"/>
      <c r="BO54" s="39">
        <v>9</v>
      </c>
      <c r="BP54" s="2">
        <v>9</v>
      </c>
      <c r="BQ54" s="33"/>
      <c r="BR54" s="39">
        <v>9</v>
      </c>
      <c r="BS54" s="2">
        <v>9</v>
      </c>
      <c r="BT54" s="33"/>
      <c r="BU54" s="39">
        <v>3</v>
      </c>
      <c r="BV54" s="2">
        <v>3</v>
      </c>
      <c r="BW54" s="33"/>
      <c r="BX54" s="39"/>
      <c r="BY54" s="2"/>
      <c r="BZ54" s="33"/>
      <c r="CA54" s="39"/>
      <c r="CB54" s="2"/>
      <c r="CC54" s="33"/>
      <c r="CD54" s="39"/>
      <c r="CE54" s="2"/>
      <c r="CF54" s="33"/>
      <c r="CG54" s="39"/>
      <c r="CH54" s="2"/>
      <c r="CI54" s="33"/>
      <c r="CJ54" s="39"/>
      <c r="CK54" s="2"/>
      <c r="CL54" s="33"/>
      <c r="CM54" s="39"/>
      <c r="CN54" s="2"/>
      <c r="CO54" s="33"/>
      <c r="CP54" s="39"/>
      <c r="CQ54" s="2"/>
      <c r="CR54" s="33"/>
      <c r="CS54" s="39"/>
      <c r="CT54" s="2"/>
      <c r="CU54" s="33"/>
      <c r="CV54" s="39"/>
      <c r="CW54" s="2"/>
      <c r="CX54" s="33"/>
      <c r="CY54" s="39"/>
      <c r="CZ54" s="2"/>
      <c r="DA54" s="33"/>
      <c r="DB54" s="39"/>
      <c r="DC54" s="2"/>
      <c r="DD54" s="33"/>
      <c r="DE54" s="39"/>
      <c r="DF54" s="2"/>
      <c r="DG54" s="2"/>
      <c r="DH54" s="66">
        <f t="shared" si="215"/>
        <v>48</v>
      </c>
    </row>
    <row r="55" spans="2:112" x14ac:dyDescent="0.25">
      <c r="B55" s="8" t="s">
        <v>24</v>
      </c>
      <c r="C55" s="11">
        <v>24</v>
      </c>
      <c r="D55" s="16">
        <f t="shared" si="213"/>
        <v>24</v>
      </c>
      <c r="E55" s="4">
        <f t="shared" si="214"/>
        <v>24</v>
      </c>
      <c r="F55" s="22"/>
      <c r="G55" s="58"/>
      <c r="H55" s="45"/>
      <c r="I55" s="46"/>
      <c r="J55" s="44"/>
      <c r="K55" s="45"/>
      <c r="L55" s="46"/>
      <c r="M55" s="44"/>
      <c r="N55" s="45"/>
      <c r="O55" s="46"/>
      <c r="P55" s="44"/>
      <c r="Q55" s="45"/>
      <c r="R55" s="46"/>
      <c r="S55" s="44"/>
      <c r="T55" s="45"/>
      <c r="U55" s="46"/>
      <c r="V55" s="44"/>
      <c r="W55" s="45"/>
      <c r="X55" s="46"/>
      <c r="Y55" s="44"/>
      <c r="Z55" s="45"/>
      <c r="AA55" s="46"/>
      <c r="AB55" s="44"/>
      <c r="AC55" s="45"/>
      <c r="AD55" s="46"/>
      <c r="AE55" s="44"/>
      <c r="AF55" s="45"/>
      <c r="AG55" s="46"/>
      <c r="AH55" s="39">
        <v>9</v>
      </c>
      <c r="AI55" s="2">
        <v>9</v>
      </c>
      <c r="AJ55" s="33"/>
      <c r="AK55" s="39">
        <v>9</v>
      </c>
      <c r="AL55" s="2">
        <v>9</v>
      </c>
      <c r="AM55" s="33"/>
      <c r="AN55" s="39">
        <v>6</v>
      </c>
      <c r="AO55" s="2">
        <v>6</v>
      </c>
      <c r="AP55" s="33"/>
      <c r="AQ55" s="39"/>
      <c r="AR55" s="2"/>
      <c r="AS55" s="33"/>
      <c r="AT55" s="39"/>
      <c r="AU55" s="2"/>
      <c r="AV55" s="33"/>
      <c r="AW55" s="39"/>
      <c r="AX55" s="2"/>
      <c r="AY55" s="33"/>
      <c r="AZ55" s="39"/>
      <c r="BA55" s="2"/>
      <c r="BB55" s="33"/>
      <c r="BC55" s="39"/>
      <c r="BD55" s="2"/>
      <c r="BE55" s="33"/>
      <c r="BF55" s="39"/>
      <c r="BG55" s="2"/>
      <c r="BH55" s="33"/>
      <c r="BI55" s="39"/>
      <c r="BJ55" s="2"/>
      <c r="BK55" s="33"/>
      <c r="BL55" s="39"/>
      <c r="BM55" s="2"/>
      <c r="BN55" s="33"/>
      <c r="BO55" s="39"/>
      <c r="BP55" s="2"/>
      <c r="BQ55" s="33"/>
      <c r="BR55" s="39"/>
      <c r="BS55" s="2"/>
      <c r="BT55" s="33"/>
      <c r="BU55" s="39"/>
      <c r="BV55" s="2"/>
      <c r="BW55" s="33"/>
      <c r="BX55" s="39"/>
      <c r="BY55" s="2"/>
      <c r="BZ55" s="33"/>
      <c r="CA55" s="39"/>
      <c r="CB55" s="2"/>
      <c r="CC55" s="33"/>
      <c r="CD55" s="39"/>
      <c r="CE55" s="2"/>
      <c r="CF55" s="33"/>
      <c r="CG55" s="39"/>
      <c r="CH55" s="2"/>
      <c r="CI55" s="33"/>
      <c r="CJ55" s="39"/>
      <c r="CK55" s="2"/>
      <c r="CL55" s="33"/>
      <c r="CM55" s="39"/>
      <c r="CN55" s="2"/>
      <c r="CO55" s="33"/>
      <c r="CP55" s="39"/>
      <c r="CQ55" s="2"/>
      <c r="CR55" s="33"/>
      <c r="CS55" s="39"/>
      <c r="CT55" s="2"/>
      <c r="CU55" s="33"/>
      <c r="CV55" s="39"/>
      <c r="CW55" s="2"/>
      <c r="CX55" s="33"/>
      <c r="CY55" s="39"/>
      <c r="CZ55" s="2"/>
      <c r="DA55" s="33"/>
      <c r="DB55" s="39"/>
      <c r="DC55" s="2"/>
      <c r="DD55" s="33"/>
      <c r="DE55" s="39"/>
      <c r="DF55" s="2"/>
      <c r="DG55" s="2"/>
      <c r="DH55" s="66">
        <f t="shared" si="215"/>
        <v>48</v>
      </c>
    </row>
    <row r="56" spans="2:112" x14ac:dyDescent="0.25">
      <c r="B56" s="8" t="s">
        <v>25</v>
      </c>
      <c r="C56" s="11">
        <v>24</v>
      </c>
      <c r="D56" s="16">
        <f t="shared" si="213"/>
        <v>24</v>
      </c>
      <c r="E56" s="4">
        <f t="shared" si="214"/>
        <v>24</v>
      </c>
      <c r="F56" s="22"/>
      <c r="G56" s="58"/>
      <c r="H56" s="45"/>
      <c r="I56" s="46"/>
      <c r="J56" s="44"/>
      <c r="K56" s="45"/>
      <c r="L56" s="46"/>
      <c r="M56" s="44"/>
      <c r="N56" s="45"/>
      <c r="O56" s="46"/>
      <c r="P56" s="44"/>
      <c r="Q56" s="45"/>
      <c r="R56" s="46"/>
      <c r="S56" s="44"/>
      <c r="T56" s="45"/>
      <c r="U56" s="46"/>
      <c r="V56" s="44"/>
      <c r="W56" s="45"/>
      <c r="X56" s="46"/>
      <c r="Y56" s="44"/>
      <c r="Z56" s="45"/>
      <c r="AA56" s="46"/>
      <c r="AB56" s="44"/>
      <c r="AC56" s="45"/>
      <c r="AD56" s="46"/>
      <c r="AE56" s="44"/>
      <c r="AF56" s="45"/>
      <c r="AG56" s="46"/>
      <c r="AH56" s="39"/>
      <c r="AI56" s="2"/>
      <c r="AJ56" s="33"/>
      <c r="AK56" s="39"/>
      <c r="AL56" s="2"/>
      <c r="AM56" s="33"/>
      <c r="AN56" s="39">
        <v>3</v>
      </c>
      <c r="AO56" s="2">
        <v>3</v>
      </c>
      <c r="AP56" s="33"/>
      <c r="AQ56" s="39">
        <v>9</v>
      </c>
      <c r="AR56" s="2">
        <v>9</v>
      </c>
      <c r="AS56" s="33"/>
      <c r="AT56" s="39">
        <v>9</v>
      </c>
      <c r="AU56" s="2">
        <v>9</v>
      </c>
      <c r="AV56" s="33"/>
      <c r="AW56" s="39">
        <v>3</v>
      </c>
      <c r="AX56" s="2">
        <v>3</v>
      </c>
      <c r="AY56" s="33"/>
      <c r="AZ56" s="39"/>
      <c r="BA56" s="2"/>
      <c r="BB56" s="33"/>
      <c r="BC56" s="39"/>
      <c r="BD56" s="2"/>
      <c r="BE56" s="33"/>
      <c r="BF56" s="39"/>
      <c r="BG56" s="2"/>
      <c r="BH56" s="33"/>
      <c r="BI56" s="39"/>
      <c r="BJ56" s="2"/>
      <c r="BK56" s="33"/>
      <c r="BL56" s="39"/>
      <c r="BM56" s="2"/>
      <c r="BN56" s="33"/>
      <c r="BO56" s="39"/>
      <c r="BP56" s="2"/>
      <c r="BQ56" s="33"/>
      <c r="BR56" s="39"/>
      <c r="BS56" s="2"/>
      <c r="BT56" s="33"/>
      <c r="BU56" s="39"/>
      <c r="BV56" s="2"/>
      <c r="BW56" s="33"/>
      <c r="BX56" s="39"/>
      <c r="BY56" s="2"/>
      <c r="BZ56" s="33"/>
      <c r="CA56" s="39"/>
      <c r="CB56" s="2"/>
      <c r="CC56" s="33"/>
      <c r="CD56" s="39"/>
      <c r="CE56" s="2"/>
      <c r="CF56" s="33"/>
      <c r="CG56" s="39"/>
      <c r="CH56" s="2"/>
      <c r="CI56" s="33"/>
      <c r="CJ56" s="39"/>
      <c r="CK56" s="2"/>
      <c r="CL56" s="33"/>
      <c r="CM56" s="39"/>
      <c r="CN56" s="2"/>
      <c r="CO56" s="33"/>
      <c r="CP56" s="39"/>
      <c r="CQ56" s="2"/>
      <c r="CR56" s="33"/>
      <c r="CS56" s="39"/>
      <c r="CT56" s="2"/>
      <c r="CU56" s="33"/>
      <c r="CV56" s="39"/>
      <c r="CW56" s="2"/>
      <c r="CX56" s="33"/>
      <c r="CY56" s="39"/>
      <c r="CZ56" s="2"/>
      <c r="DA56" s="33"/>
      <c r="DB56" s="39"/>
      <c r="DC56" s="2"/>
      <c r="DD56" s="33"/>
      <c r="DE56" s="39"/>
      <c r="DF56" s="2"/>
      <c r="DG56" s="2"/>
      <c r="DH56" s="66">
        <f t="shared" si="215"/>
        <v>48</v>
      </c>
    </row>
    <row r="57" spans="2:112" x14ac:dyDescent="0.25">
      <c r="B57" s="8" t="s">
        <v>26</v>
      </c>
      <c r="C57" s="11">
        <v>24</v>
      </c>
      <c r="D57" s="16">
        <f t="shared" si="213"/>
        <v>24</v>
      </c>
      <c r="E57" s="4">
        <f t="shared" si="214"/>
        <v>24</v>
      </c>
      <c r="F57" s="22"/>
      <c r="G57" s="58"/>
      <c r="H57" s="45"/>
      <c r="I57" s="46"/>
      <c r="J57" s="44"/>
      <c r="K57" s="45"/>
      <c r="L57" s="46"/>
      <c r="M57" s="44"/>
      <c r="N57" s="45"/>
      <c r="O57" s="46"/>
      <c r="P57" s="44"/>
      <c r="Q57" s="45"/>
      <c r="R57" s="46"/>
      <c r="S57" s="44"/>
      <c r="T57" s="45"/>
      <c r="U57" s="46"/>
      <c r="V57" s="44"/>
      <c r="W57" s="45"/>
      <c r="X57" s="46"/>
      <c r="Y57" s="44"/>
      <c r="Z57" s="45"/>
      <c r="AA57" s="46"/>
      <c r="AB57" s="44"/>
      <c r="AC57" s="45"/>
      <c r="AD57" s="46"/>
      <c r="AE57" s="44"/>
      <c r="AF57" s="45"/>
      <c r="AG57" s="46"/>
      <c r="AH57" s="39"/>
      <c r="AI57" s="2"/>
      <c r="AJ57" s="33"/>
      <c r="AK57" s="39"/>
      <c r="AL57" s="2"/>
      <c r="AM57" s="33"/>
      <c r="AN57" s="39"/>
      <c r="AO57" s="2"/>
      <c r="AP57" s="33"/>
      <c r="AQ57" s="39"/>
      <c r="AR57" s="2"/>
      <c r="AS57" s="33"/>
      <c r="AT57" s="39"/>
      <c r="AU57" s="2"/>
      <c r="AV57" s="33"/>
      <c r="AW57" s="39">
        <v>6</v>
      </c>
      <c r="AX57" s="2">
        <v>6</v>
      </c>
      <c r="AY57" s="33"/>
      <c r="AZ57" s="39">
        <v>9</v>
      </c>
      <c r="BA57" s="2">
        <v>9</v>
      </c>
      <c r="BB57" s="33"/>
      <c r="BC57" s="39">
        <v>9</v>
      </c>
      <c r="BD57" s="2">
        <v>9</v>
      </c>
      <c r="BE57" s="33"/>
      <c r="BF57" s="39"/>
      <c r="BG57" s="2"/>
      <c r="BH57" s="33"/>
      <c r="BI57" s="39"/>
      <c r="BJ57" s="2"/>
      <c r="BK57" s="33"/>
      <c r="BL57" s="39"/>
      <c r="BM57" s="2"/>
      <c r="BN57" s="33"/>
      <c r="BO57" s="39"/>
      <c r="BP57" s="2"/>
      <c r="BQ57" s="33"/>
      <c r="BR57" s="39"/>
      <c r="BS57" s="2"/>
      <c r="BT57" s="33"/>
      <c r="BU57" s="39"/>
      <c r="BV57" s="2"/>
      <c r="BW57" s="33"/>
      <c r="BX57" s="39"/>
      <c r="BY57" s="2"/>
      <c r="BZ57" s="33"/>
      <c r="CA57" s="39"/>
      <c r="CB57" s="2"/>
      <c r="CC57" s="33"/>
      <c r="CD57" s="39"/>
      <c r="CE57" s="2"/>
      <c r="CF57" s="33"/>
      <c r="CG57" s="39"/>
      <c r="CH57" s="2"/>
      <c r="CI57" s="33"/>
      <c r="CJ57" s="39"/>
      <c r="CK57" s="2"/>
      <c r="CL57" s="33"/>
      <c r="CM57" s="39"/>
      <c r="CN57" s="2"/>
      <c r="CO57" s="33"/>
      <c r="CP57" s="39"/>
      <c r="CQ57" s="2"/>
      <c r="CR57" s="33"/>
      <c r="CS57" s="39"/>
      <c r="CT57" s="2"/>
      <c r="CU57" s="33"/>
      <c r="CV57" s="39"/>
      <c r="CW57" s="2"/>
      <c r="CX57" s="33"/>
      <c r="CY57" s="39"/>
      <c r="CZ57" s="2"/>
      <c r="DA57" s="33"/>
      <c r="DB57" s="39"/>
      <c r="DC57" s="2"/>
      <c r="DD57" s="33"/>
      <c r="DE57" s="39"/>
      <c r="DF57" s="2"/>
      <c r="DG57" s="2"/>
      <c r="DH57" s="66">
        <f t="shared" si="215"/>
        <v>48</v>
      </c>
    </row>
    <row r="58" spans="2:112" ht="15.75" thickBot="1" x14ac:dyDescent="0.3">
      <c r="B58" s="9" t="s">
        <v>9</v>
      </c>
      <c r="C58" s="12">
        <v>24</v>
      </c>
      <c r="D58" s="18">
        <f t="shared" si="213"/>
        <v>24</v>
      </c>
      <c r="E58" s="6">
        <f t="shared" si="214"/>
        <v>24</v>
      </c>
      <c r="F58" s="23"/>
      <c r="G58" s="59"/>
      <c r="H58" s="48"/>
      <c r="I58" s="49"/>
      <c r="J58" s="47"/>
      <c r="K58" s="48"/>
      <c r="L58" s="49"/>
      <c r="M58" s="47"/>
      <c r="N58" s="48"/>
      <c r="O58" s="49"/>
      <c r="P58" s="47"/>
      <c r="Q58" s="48"/>
      <c r="R58" s="49"/>
      <c r="S58" s="47"/>
      <c r="T58" s="48"/>
      <c r="U58" s="49"/>
      <c r="V58" s="47"/>
      <c r="W58" s="48"/>
      <c r="X58" s="49"/>
      <c r="Y58" s="47"/>
      <c r="Z58" s="48"/>
      <c r="AA58" s="49"/>
      <c r="AB58" s="47"/>
      <c r="AC58" s="48"/>
      <c r="AD58" s="49"/>
      <c r="AE58" s="47"/>
      <c r="AF58" s="48"/>
      <c r="AG58" s="49"/>
      <c r="AH58" s="43"/>
      <c r="AI58" s="41"/>
      <c r="AJ58" s="42"/>
      <c r="AK58" s="43"/>
      <c r="AL58" s="41"/>
      <c r="AM58" s="42"/>
      <c r="AN58" s="43"/>
      <c r="AO58" s="41"/>
      <c r="AP58" s="42"/>
      <c r="AQ58" s="43"/>
      <c r="AR58" s="41"/>
      <c r="AS58" s="42"/>
      <c r="AT58" s="43"/>
      <c r="AU58" s="41"/>
      <c r="AV58" s="42"/>
      <c r="AW58" s="43"/>
      <c r="AX58" s="41"/>
      <c r="AY58" s="42"/>
      <c r="AZ58" s="43"/>
      <c r="BA58" s="41"/>
      <c r="BB58" s="42"/>
      <c r="BC58" s="43"/>
      <c r="BD58" s="41"/>
      <c r="BE58" s="42"/>
      <c r="BF58" s="43">
        <v>9</v>
      </c>
      <c r="BG58" s="41">
        <v>9</v>
      </c>
      <c r="BH58" s="42"/>
      <c r="BI58" s="43">
        <v>9</v>
      </c>
      <c r="BJ58" s="41">
        <v>9</v>
      </c>
      <c r="BK58" s="42"/>
      <c r="BL58" s="43">
        <v>6</v>
      </c>
      <c r="BM58" s="41">
        <v>6</v>
      </c>
      <c r="BN58" s="42"/>
      <c r="BO58" s="43"/>
      <c r="BP58" s="41"/>
      <c r="BQ58" s="42"/>
      <c r="BR58" s="43"/>
      <c r="BS58" s="41"/>
      <c r="BT58" s="42"/>
      <c r="BU58" s="43"/>
      <c r="BV58" s="41"/>
      <c r="BW58" s="42"/>
      <c r="BX58" s="43"/>
      <c r="BY58" s="41"/>
      <c r="BZ58" s="42"/>
      <c r="CA58" s="43"/>
      <c r="CB58" s="41"/>
      <c r="CC58" s="42"/>
      <c r="CD58" s="43"/>
      <c r="CE58" s="41"/>
      <c r="CF58" s="42"/>
      <c r="CG58" s="43"/>
      <c r="CH58" s="41"/>
      <c r="CI58" s="42"/>
      <c r="CJ58" s="43"/>
      <c r="CK58" s="41"/>
      <c r="CL58" s="42"/>
      <c r="CM58" s="43"/>
      <c r="CN58" s="41"/>
      <c r="CO58" s="42"/>
      <c r="CP58" s="43"/>
      <c r="CQ58" s="41"/>
      <c r="CR58" s="42"/>
      <c r="CS58" s="43"/>
      <c r="CT58" s="41"/>
      <c r="CU58" s="42"/>
      <c r="CV58" s="43"/>
      <c r="CW58" s="41"/>
      <c r="CX58" s="42"/>
      <c r="CY58" s="43"/>
      <c r="CZ58" s="41"/>
      <c r="DA58" s="42"/>
      <c r="DB58" s="43"/>
      <c r="DC58" s="41"/>
      <c r="DD58" s="42"/>
      <c r="DE58" s="43"/>
      <c r="DF58" s="41"/>
      <c r="DG58" s="41"/>
      <c r="DH58" s="66">
        <f t="shared" si="215"/>
        <v>48</v>
      </c>
    </row>
    <row r="59" spans="2:112" ht="16.5" thickTop="1" thickBot="1" x14ac:dyDescent="0.3">
      <c r="B59" s="7" t="s">
        <v>28</v>
      </c>
      <c r="C59" s="13">
        <f>SUM(C51:C58)</f>
        <v>192</v>
      </c>
      <c r="D59" s="20">
        <f t="shared" ref="D59:F59" si="216">SUM(D51:D58)</f>
        <v>192</v>
      </c>
      <c r="E59" s="7">
        <f t="shared" si="216"/>
        <v>192</v>
      </c>
      <c r="F59" s="21">
        <f t="shared" si="216"/>
        <v>72</v>
      </c>
      <c r="G59" s="20">
        <f>SUM(G51:G58)</f>
        <v>0</v>
      </c>
      <c r="H59" s="7">
        <f>SUM(H51:H58)</f>
        <v>0</v>
      </c>
      <c r="I59" s="7">
        <f t="shared" ref="I59:AA59" si="217">SUM(I51:I58)</f>
        <v>0</v>
      </c>
      <c r="J59" s="7">
        <f t="shared" si="217"/>
        <v>0</v>
      </c>
      <c r="K59" s="7">
        <f t="shared" si="217"/>
        <v>0</v>
      </c>
      <c r="L59" s="7">
        <f t="shared" si="217"/>
        <v>0</v>
      </c>
      <c r="M59" s="7">
        <f t="shared" si="217"/>
        <v>0</v>
      </c>
      <c r="N59" s="7">
        <f t="shared" si="217"/>
        <v>0</v>
      </c>
      <c r="O59" s="7">
        <f t="shared" si="217"/>
        <v>0</v>
      </c>
      <c r="P59" s="7">
        <f t="shared" si="217"/>
        <v>0</v>
      </c>
      <c r="Q59" s="7">
        <f t="shared" si="217"/>
        <v>0</v>
      </c>
      <c r="R59" s="7">
        <f t="shared" si="217"/>
        <v>0</v>
      </c>
      <c r="S59" s="7">
        <f t="shared" si="217"/>
        <v>0</v>
      </c>
      <c r="T59" s="7">
        <f t="shared" si="217"/>
        <v>0</v>
      </c>
      <c r="U59" s="7">
        <f t="shared" si="217"/>
        <v>0</v>
      </c>
      <c r="V59" s="7">
        <f t="shared" si="217"/>
        <v>0</v>
      </c>
      <c r="W59" s="7">
        <f t="shared" si="217"/>
        <v>0</v>
      </c>
      <c r="X59" s="7">
        <f t="shared" si="217"/>
        <v>0</v>
      </c>
      <c r="Y59" s="7">
        <f t="shared" si="217"/>
        <v>0</v>
      </c>
      <c r="Z59" s="7">
        <f t="shared" si="217"/>
        <v>0</v>
      </c>
      <c r="AA59" s="7">
        <f t="shared" si="217"/>
        <v>0</v>
      </c>
      <c r="AB59" s="7">
        <f t="shared" ref="AB59" si="218">SUM(AB51:AB58)</f>
        <v>0</v>
      </c>
      <c r="AC59" s="7">
        <f t="shared" ref="AC59" si="219">SUM(AC51:AC58)</f>
        <v>0</v>
      </c>
      <c r="AD59" s="7">
        <f t="shared" ref="AD59" si="220">SUM(AD51:AD58)</f>
        <v>0</v>
      </c>
      <c r="AE59" s="7">
        <f t="shared" ref="AE59" si="221">SUM(AE51:AE58)</f>
        <v>0</v>
      </c>
      <c r="AF59" s="7">
        <f t="shared" ref="AF59" si="222">SUM(AF51:AF58)</f>
        <v>0</v>
      </c>
      <c r="AG59" s="7">
        <f t="shared" ref="AG59" si="223">SUM(AG51:AG58)</f>
        <v>0</v>
      </c>
      <c r="AH59" s="7">
        <f t="shared" ref="AH59" si="224">SUM(AH51:AH58)</f>
        <v>9</v>
      </c>
      <c r="AI59" s="7">
        <f t="shared" ref="AI59" si="225">SUM(AI51:AI58)</f>
        <v>9</v>
      </c>
      <c r="AJ59" s="7">
        <f t="shared" ref="AJ59" si="226">SUM(AJ51:AJ58)</f>
        <v>0</v>
      </c>
      <c r="AK59" s="7">
        <f t="shared" ref="AK59" si="227">SUM(AK51:AK58)</f>
        <v>9</v>
      </c>
      <c r="AL59" s="7">
        <f t="shared" ref="AL59" si="228">SUM(AL51:AL58)</f>
        <v>9</v>
      </c>
      <c r="AM59" s="7">
        <f t="shared" ref="AM59" si="229">SUM(AM51:AM58)</f>
        <v>0</v>
      </c>
      <c r="AN59" s="7">
        <f t="shared" ref="AN59" si="230">SUM(AN51:AN58)</f>
        <v>9</v>
      </c>
      <c r="AO59" s="7">
        <f t="shared" ref="AO59" si="231">SUM(AO51:AO58)</f>
        <v>9</v>
      </c>
      <c r="AP59" s="7">
        <f t="shared" ref="AP59" si="232">SUM(AP51:AP58)</f>
        <v>0</v>
      </c>
      <c r="AQ59" s="7">
        <f t="shared" ref="AQ59" si="233">SUM(AQ51:AQ58)</f>
        <v>9</v>
      </c>
      <c r="AR59" s="7">
        <f t="shared" ref="AR59" si="234">SUM(AR51:AR58)</f>
        <v>9</v>
      </c>
      <c r="AS59" s="7">
        <f t="shared" ref="AS59" si="235">SUM(AS51:AS58)</f>
        <v>0</v>
      </c>
      <c r="AT59" s="7">
        <f t="shared" ref="AT59" si="236">SUM(AT51:AT58)</f>
        <v>9</v>
      </c>
      <c r="AU59" s="7">
        <f t="shared" ref="AU59" si="237">SUM(AU51:AU58)</f>
        <v>9</v>
      </c>
      <c r="AV59" s="7">
        <f t="shared" ref="AV59" si="238">SUM(AV51:AV58)</f>
        <v>0</v>
      </c>
      <c r="AW59" s="7">
        <f t="shared" ref="AW59" si="239">SUM(AW51:AW58)</f>
        <v>9</v>
      </c>
      <c r="AX59" s="7">
        <f t="shared" ref="AX59" si="240">SUM(AX51:AX58)</f>
        <v>9</v>
      </c>
      <c r="AY59" s="7">
        <f t="shared" ref="AY59" si="241">SUM(AY51:AY58)</f>
        <v>0</v>
      </c>
      <c r="AZ59" s="7">
        <f t="shared" ref="AZ59" si="242">SUM(AZ51:AZ58)</f>
        <v>9</v>
      </c>
      <c r="BA59" s="7">
        <f t="shared" ref="BA59" si="243">SUM(BA51:BA58)</f>
        <v>9</v>
      </c>
      <c r="BB59" s="7">
        <f t="shared" ref="BB59" si="244">SUM(BB51:BB58)</f>
        <v>0</v>
      </c>
      <c r="BC59" s="7">
        <f t="shared" ref="BC59" si="245">SUM(BC51:BC58)</f>
        <v>9</v>
      </c>
      <c r="BD59" s="7">
        <f t="shared" ref="BD59" si="246">SUM(BD51:BD58)</f>
        <v>9</v>
      </c>
      <c r="BE59" s="7">
        <f t="shared" ref="BE59" si="247">SUM(BE51:BE58)</f>
        <v>0</v>
      </c>
      <c r="BF59" s="7">
        <f t="shared" ref="BF59" si="248">SUM(BF51:BF58)</f>
        <v>9</v>
      </c>
      <c r="BG59" s="7">
        <f t="shared" ref="BG59" si="249">SUM(BG51:BG58)</f>
        <v>9</v>
      </c>
      <c r="BH59" s="7">
        <f t="shared" ref="BH59" si="250">SUM(BH51:BH58)</f>
        <v>0</v>
      </c>
      <c r="BI59" s="7">
        <f t="shared" ref="BI59" si="251">SUM(BI51:BI58)</f>
        <v>9</v>
      </c>
      <c r="BJ59" s="7">
        <f t="shared" ref="BJ59" si="252">SUM(BJ51:BJ58)</f>
        <v>9</v>
      </c>
      <c r="BK59" s="7">
        <f t="shared" ref="BK59" si="253">SUM(BK51:BK58)</f>
        <v>0</v>
      </c>
      <c r="BL59" s="7">
        <f t="shared" ref="BL59" si="254">SUM(BL51:BL58)</f>
        <v>9</v>
      </c>
      <c r="BM59" s="7">
        <f t="shared" ref="BM59" si="255">SUM(BM51:BM58)</f>
        <v>9</v>
      </c>
      <c r="BN59" s="7">
        <f t="shared" ref="BN59" si="256">SUM(BN51:BN58)</f>
        <v>0</v>
      </c>
      <c r="BO59" s="7">
        <f t="shared" ref="BO59" si="257">SUM(BO51:BO58)</f>
        <v>9</v>
      </c>
      <c r="BP59" s="7">
        <f t="shared" ref="BP59" si="258">SUM(BP51:BP58)</f>
        <v>9</v>
      </c>
      <c r="BQ59" s="7">
        <f t="shared" ref="BQ59" si="259">SUM(BQ51:BQ58)</f>
        <v>0</v>
      </c>
      <c r="BR59" s="7">
        <f t="shared" ref="BR59" si="260">SUM(BR51:BR58)</f>
        <v>9</v>
      </c>
      <c r="BS59" s="7">
        <f t="shared" ref="BS59" si="261">SUM(BS51:BS58)</f>
        <v>9</v>
      </c>
      <c r="BT59" s="7">
        <f t="shared" ref="BT59" si="262">SUM(BT51:BT58)</f>
        <v>0</v>
      </c>
      <c r="BU59" s="7">
        <f t="shared" ref="BU59" si="263">SUM(BU51:BU58)</f>
        <v>7</v>
      </c>
      <c r="BV59" s="7">
        <f t="shared" ref="BV59" si="264">SUM(BV51:BV58)</f>
        <v>7</v>
      </c>
      <c r="BW59" s="7">
        <f t="shared" ref="BW59" si="265">SUM(BW51:BW58)</f>
        <v>4</v>
      </c>
      <c r="BX59" s="7">
        <f t="shared" ref="BX59" si="266">SUM(BX51:BX58)</f>
        <v>6</v>
      </c>
      <c r="BY59" s="7">
        <f t="shared" ref="BY59" si="267">SUM(BY51:BY58)</f>
        <v>6</v>
      </c>
      <c r="BZ59" s="7">
        <f t="shared" ref="BZ59" si="268">SUM(BZ51:BZ58)</f>
        <v>6</v>
      </c>
      <c r="CA59" s="7">
        <f t="shared" ref="CA59" si="269">SUM(CA51:CA58)</f>
        <v>6</v>
      </c>
      <c r="CB59" s="7">
        <f t="shared" ref="CB59" si="270">SUM(CB51:CB58)</f>
        <v>6</v>
      </c>
      <c r="CC59" s="7">
        <f t="shared" ref="CC59" si="271">SUM(CC51:CC58)</f>
        <v>6</v>
      </c>
      <c r="CD59" s="7">
        <f t="shared" ref="CD59" si="272">SUM(CD51:CD58)</f>
        <v>6</v>
      </c>
      <c r="CE59" s="7">
        <f t="shared" ref="CE59" si="273">SUM(CE51:CE58)</f>
        <v>6</v>
      </c>
      <c r="CF59" s="7">
        <f t="shared" ref="CF59" si="274">SUM(CF51:CF58)</f>
        <v>6</v>
      </c>
      <c r="CG59" s="7">
        <f t="shared" ref="CG59" si="275">SUM(CG51:CG58)</f>
        <v>6</v>
      </c>
      <c r="CH59" s="7">
        <f t="shared" ref="CH59" si="276">SUM(CH51:CH58)</f>
        <v>6</v>
      </c>
      <c r="CI59" s="7">
        <f t="shared" ref="CI59" si="277">SUM(CI51:CI58)</f>
        <v>6</v>
      </c>
      <c r="CJ59" s="7">
        <f t="shared" ref="CJ59" si="278">SUM(CJ51:CJ58)</f>
        <v>6</v>
      </c>
      <c r="CK59" s="7">
        <f t="shared" ref="CK59" si="279">SUM(CK51:CK58)</f>
        <v>6</v>
      </c>
      <c r="CL59" s="7">
        <f t="shared" ref="CL59" si="280">SUM(CL51:CL58)</f>
        <v>6</v>
      </c>
      <c r="CM59" s="7">
        <f t="shared" ref="CM59" si="281">SUM(CM51:CM58)</f>
        <v>6</v>
      </c>
      <c r="CN59" s="7">
        <f t="shared" ref="CN59" si="282">SUM(CN51:CN58)</f>
        <v>6</v>
      </c>
      <c r="CO59" s="7">
        <f t="shared" ref="CO59" si="283">SUM(CO51:CO58)</f>
        <v>6</v>
      </c>
      <c r="CP59" s="7">
        <f t="shared" ref="CP59" si="284">SUM(CP51:CP58)</f>
        <v>6</v>
      </c>
      <c r="CQ59" s="7">
        <f t="shared" ref="CQ59" si="285">SUM(CQ51:CQ58)</f>
        <v>6</v>
      </c>
      <c r="CR59" s="7">
        <f t="shared" ref="CR59" si="286">SUM(CR51:CR58)</f>
        <v>6</v>
      </c>
      <c r="CS59" s="7">
        <f t="shared" ref="CS59" si="287">SUM(CS51:CS58)</f>
        <v>6</v>
      </c>
      <c r="CT59" s="7">
        <f t="shared" ref="CT59" si="288">SUM(CT51:CT58)</f>
        <v>6</v>
      </c>
      <c r="CU59" s="7">
        <f t="shared" ref="CU59" si="289">SUM(CU51:CU58)</f>
        <v>6</v>
      </c>
      <c r="CV59" s="7">
        <f t="shared" ref="CV59" si="290">SUM(CV51:CV58)</f>
        <v>6</v>
      </c>
      <c r="CW59" s="7">
        <f t="shared" ref="CW59" si="291">SUM(CW51:CW58)</f>
        <v>6</v>
      </c>
      <c r="CX59" s="7">
        <f t="shared" ref="CX59" si="292">SUM(CX51:CX58)</f>
        <v>6</v>
      </c>
      <c r="CY59" s="7">
        <f t="shared" ref="CY59" si="293">SUM(CY51:CY58)</f>
        <v>6</v>
      </c>
      <c r="CZ59" s="7">
        <f t="shared" ref="CZ59" si="294">SUM(CZ51:CZ58)</f>
        <v>6</v>
      </c>
      <c r="DA59" s="7">
        <f t="shared" ref="DA59" si="295">SUM(DA51:DA58)</f>
        <v>6</v>
      </c>
      <c r="DB59" s="7">
        <f t="shared" ref="DB59" si="296">SUM(DB51:DB58)</f>
        <v>6</v>
      </c>
      <c r="DC59" s="7">
        <f t="shared" ref="DC59" si="297">SUM(DC51:DC58)</f>
        <v>6</v>
      </c>
      <c r="DD59" s="7">
        <f t="shared" ref="DD59" si="298">SUM(DD51:DD58)</f>
        <v>6</v>
      </c>
      <c r="DE59" s="7">
        <f t="shared" ref="DE59" si="299">SUM(DE51:DE58)</f>
        <v>2</v>
      </c>
      <c r="DF59" s="7">
        <f t="shared" ref="DF59" si="300">SUM(DF51:DF58)</f>
        <v>2</v>
      </c>
      <c r="DG59" s="7">
        <f t="shared" ref="DG59" si="301">SUM(DG51:DG58)</f>
        <v>2</v>
      </c>
      <c r="DH59" s="65">
        <f>SUM(DH51:DH58)</f>
        <v>456</v>
      </c>
    </row>
    <row r="60" spans="2:112" ht="16.5" thickTop="1" thickBot="1" x14ac:dyDescent="0.3">
      <c r="B60" s="141" t="s">
        <v>39</v>
      </c>
      <c r="C60" s="141"/>
      <c r="D60" s="141"/>
      <c r="E60" s="141"/>
      <c r="F60" s="141"/>
      <c r="G60" s="142">
        <f>SUM(G59:I59,G46:I46,G25:I25)</f>
        <v>18</v>
      </c>
      <c r="H60" s="143"/>
      <c r="I60" s="144"/>
      <c r="J60" s="142">
        <f t="shared" ref="J60" si="302">SUM(J59:L59,J46:L46,J25:L25)</f>
        <v>18</v>
      </c>
      <c r="K60" s="143"/>
      <c r="L60" s="144"/>
      <c r="M60" s="142">
        <f t="shared" ref="M60" si="303">SUM(M59:O59,M46:O46,M25:O25)</f>
        <v>18</v>
      </c>
      <c r="N60" s="143"/>
      <c r="O60" s="144"/>
      <c r="P60" s="142">
        <f t="shared" ref="P60" si="304">SUM(P59:R59,P46:R46,P25:R25)</f>
        <v>18</v>
      </c>
      <c r="Q60" s="143"/>
      <c r="R60" s="144"/>
      <c r="S60" s="142">
        <f t="shared" ref="S60" si="305">SUM(S59:U59,S46:U46,S25:U25)</f>
        <v>18</v>
      </c>
      <c r="T60" s="143"/>
      <c r="U60" s="144"/>
      <c r="V60" s="142">
        <f t="shared" ref="V60" si="306">SUM(V59:X59,V46:X46,V25:X25)</f>
        <v>18</v>
      </c>
      <c r="W60" s="143"/>
      <c r="X60" s="144"/>
      <c r="Y60" s="142">
        <f t="shared" ref="Y60" si="307">SUM(Y59:AA59,Y46:AA46,Y25:AA25)</f>
        <v>18</v>
      </c>
      <c r="Z60" s="143"/>
      <c r="AA60" s="144"/>
      <c r="AB60" s="142">
        <f t="shared" ref="AB60" si="308">SUM(AB59:AD59,AB46:AD46,AB25:AD25)</f>
        <v>18</v>
      </c>
      <c r="AC60" s="143"/>
      <c r="AD60" s="144"/>
      <c r="AE60" s="142">
        <f t="shared" ref="AE60" si="309">SUM(AE59:AG59,AE46:AG46,AE25:AG25)</f>
        <v>0</v>
      </c>
      <c r="AF60" s="143"/>
      <c r="AG60" s="144"/>
      <c r="AH60" s="142">
        <f t="shared" ref="AH60" si="310">SUM(AH59:AJ59,AH46:AJ46,AH25:AJ25)</f>
        <v>18</v>
      </c>
      <c r="AI60" s="143"/>
      <c r="AJ60" s="144"/>
      <c r="AK60" s="142">
        <f t="shared" ref="AK60" si="311">SUM(AK59:AM59,AK46:AM46,AK25:AM25)</f>
        <v>18</v>
      </c>
      <c r="AL60" s="143"/>
      <c r="AM60" s="144"/>
      <c r="AN60" s="142">
        <f t="shared" ref="AN60" si="312">SUM(AN59:AP59,AN46:AP46,AN25:AP25)</f>
        <v>18</v>
      </c>
      <c r="AO60" s="143"/>
      <c r="AP60" s="144"/>
      <c r="AQ60" s="142">
        <f t="shared" ref="AQ60" si="313">SUM(AQ59:AS59,AQ46:AS46,AQ25:AS25)</f>
        <v>18</v>
      </c>
      <c r="AR60" s="143"/>
      <c r="AS60" s="144"/>
      <c r="AT60" s="142">
        <f t="shared" ref="AT60" si="314">SUM(AT59:AV59,AT46:AV46,AT25:AV25)</f>
        <v>18</v>
      </c>
      <c r="AU60" s="143"/>
      <c r="AV60" s="144"/>
      <c r="AW60" s="142">
        <f t="shared" ref="AW60" si="315">SUM(AW59:AY59,AW46:AY46,AW25:AY25)</f>
        <v>18</v>
      </c>
      <c r="AX60" s="143"/>
      <c r="AY60" s="144"/>
      <c r="AZ60" s="142">
        <f t="shared" ref="AZ60" si="316">SUM(AZ59:BB59,AZ46:BB46,AZ25:BB25)</f>
        <v>18</v>
      </c>
      <c r="BA60" s="143"/>
      <c r="BB60" s="144"/>
      <c r="BC60" s="142">
        <f t="shared" ref="BC60" si="317">SUM(BC59:BE59,BC46:BE46,BC25:BE25)</f>
        <v>18</v>
      </c>
      <c r="BD60" s="143"/>
      <c r="BE60" s="144"/>
      <c r="BF60" s="142">
        <f t="shared" ref="BF60" si="318">SUM(BF59:BH59,BF46:BH46,BF25:BH25)</f>
        <v>18</v>
      </c>
      <c r="BG60" s="143"/>
      <c r="BH60" s="144"/>
      <c r="BI60" s="142">
        <f t="shared" ref="BI60" si="319">SUM(BI59:BK59,BI46:BK46,BI25:BK25)</f>
        <v>18</v>
      </c>
      <c r="BJ60" s="143"/>
      <c r="BK60" s="144"/>
      <c r="BL60" s="142">
        <f t="shared" ref="BL60" si="320">SUM(BL59:BN59,BL46:BN46,BL25:BN25)</f>
        <v>18</v>
      </c>
      <c r="BM60" s="143"/>
      <c r="BN60" s="144"/>
      <c r="BO60" s="142">
        <f t="shared" ref="BO60" si="321">SUM(BO59:BQ59,BO46:BQ46,BO25:BQ25)</f>
        <v>18</v>
      </c>
      <c r="BP60" s="143"/>
      <c r="BQ60" s="144"/>
      <c r="BR60" s="142">
        <f t="shared" ref="BR60" si="322">SUM(BR59:BT59,BR46:BT46,BR25:BT25)</f>
        <v>18</v>
      </c>
      <c r="BS60" s="143"/>
      <c r="BT60" s="144"/>
      <c r="BU60" s="142">
        <f t="shared" ref="BU60" si="323">SUM(BU59:BW59,BU46:BW46,BU25:BW25)</f>
        <v>18</v>
      </c>
      <c r="BV60" s="143"/>
      <c r="BW60" s="144"/>
      <c r="BX60" s="142">
        <f t="shared" ref="BX60" si="324">SUM(BX59:BZ59,BX46:BZ46,BX25:BZ25)</f>
        <v>18</v>
      </c>
      <c r="BY60" s="143"/>
      <c r="BZ60" s="144"/>
      <c r="CA60" s="142">
        <f t="shared" ref="CA60" si="325">SUM(CA59:CC59,CA46:CC46,CA25:CC25)</f>
        <v>18</v>
      </c>
      <c r="CB60" s="143"/>
      <c r="CC60" s="144"/>
      <c r="CD60" s="142">
        <f t="shared" ref="CD60" si="326">SUM(CD59:CF59,CD46:CF46,CD25:CF25)</f>
        <v>18</v>
      </c>
      <c r="CE60" s="143"/>
      <c r="CF60" s="144"/>
      <c r="CG60" s="142">
        <f t="shared" ref="CG60" si="327">SUM(CG59:CI59,CG46:CI46,CG25:CI25)</f>
        <v>18</v>
      </c>
      <c r="CH60" s="143"/>
      <c r="CI60" s="144"/>
      <c r="CJ60" s="142">
        <f t="shared" ref="CJ60" si="328">SUM(CJ59:CL59,CJ46:CL46,CJ25:CL25)</f>
        <v>18</v>
      </c>
      <c r="CK60" s="143"/>
      <c r="CL60" s="144"/>
      <c r="CM60" s="142">
        <f t="shared" ref="CM60" si="329">SUM(CM59:CO59,CM46:CO46,CM25:CO25)</f>
        <v>18</v>
      </c>
      <c r="CN60" s="143"/>
      <c r="CO60" s="144"/>
      <c r="CP60" s="142">
        <f t="shared" ref="CP60" si="330">SUM(CP59:CR59,CP46:CR46,CP25:CR25)</f>
        <v>18</v>
      </c>
      <c r="CQ60" s="143"/>
      <c r="CR60" s="144"/>
      <c r="CS60" s="142">
        <f t="shared" ref="CS60" si="331">SUM(CS59:CU59,CS46:CU46,CS25:CU25)</f>
        <v>18</v>
      </c>
      <c r="CT60" s="143"/>
      <c r="CU60" s="144"/>
      <c r="CV60" s="142">
        <f t="shared" ref="CV60" si="332">SUM(CV59:CX59,CV46:CX46,CV25:CX25)</f>
        <v>18</v>
      </c>
      <c r="CW60" s="143"/>
      <c r="CX60" s="144"/>
      <c r="CY60" s="142">
        <f t="shared" ref="CY60" si="333">SUM(CY59:DA59,CY46:DA46,CY25:DA25)</f>
        <v>18</v>
      </c>
      <c r="CZ60" s="143"/>
      <c r="DA60" s="144"/>
      <c r="DB60" s="142">
        <f t="shared" ref="DB60" si="334">SUM(DB59:DD59,DB46:DD46,DB25:DD25)</f>
        <v>18</v>
      </c>
      <c r="DC60" s="143"/>
      <c r="DD60" s="144"/>
      <c r="DE60" s="142">
        <f t="shared" ref="DE60" si="335">SUM(DE59:DG59,DE46:DG46,DE25:DG25)</f>
        <v>6</v>
      </c>
      <c r="DF60" s="143"/>
      <c r="DG60" s="144"/>
      <c r="DH60" s="65">
        <f>DH59+DH25+DH46</f>
        <v>600</v>
      </c>
    </row>
    <row r="61" spans="2:112" ht="15.75" thickTop="1" x14ac:dyDescent="0.25"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  <c r="AA61" s="145"/>
      <c r="AB61" s="145"/>
      <c r="AC61" s="145"/>
      <c r="AD61" s="145"/>
      <c r="AE61" s="145"/>
      <c r="AF61" s="145"/>
      <c r="AG61" s="145"/>
      <c r="AH61" s="145"/>
      <c r="AI61" s="145"/>
      <c r="AJ61" s="145"/>
      <c r="AK61" s="145"/>
      <c r="AL61" s="145"/>
      <c r="AM61" s="145"/>
    </row>
  </sheetData>
  <mergeCells count="175">
    <mergeCell ref="B2:DH2"/>
    <mergeCell ref="G26:DG26"/>
    <mergeCell ref="DH26:DH28"/>
    <mergeCell ref="CP7:CR7"/>
    <mergeCell ref="CS7:CU7"/>
    <mergeCell ref="CV7:CX7"/>
    <mergeCell ref="CY7:DA7"/>
    <mergeCell ref="DB7:DD7"/>
    <mergeCell ref="DE7:DG7"/>
    <mergeCell ref="BX7:BZ7"/>
    <mergeCell ref="CA7:CC7"/>
    <mergeCell ref="CD7:CF7"/>
    <mergeCell ref="CG7:CI7"/>
    <mergeCell ref="CJ7:CL7"/>
    <mergeCell ref="CM7:CO7"/>
    <mergeCell ref="BF7:BH7"/>
    <mergeCell ref="BI7:BK7"/>
    <mergeCell ref="BL7:BN7"/>
    <mergeCell ref="BO7:BQ7"/>
    <mergeCell ref="BR7:BT7"/>
    <mergeCell ref="BX28:BZ28"/>
    <mergeCell ref="CA28:CC28"/>
    <mergeCell ref="CD28:CF28"/>
    <mergeCell ref="CG28:CI28"/>
    <mergeCell ref="CS27:DG27"/>
    <mergeCell ref="DH47:DH49"/>
    <mergeCell ref="B3:DH3"/>
    <mergeCell ref="G5:DG5"/>
    <mergeCell ref="DH5:DH7"/>
    <mergeCell ref="AT28:AV28"/>
    <mergeCell ref="AW28:AY28"/>
    <mergeCell ref="AZ28:BB28"/>
    <mergeCell ref="BC28:BE28"/>
    <mergeCell ref="BF28:BH28"/>
    <mergeCell ref="BI28:BK28"/>
    <mergeCell ref="BU7:BW7"/>
    <mergeCell ref="DE28:DG28"/>
    <mergeCell ref="G6:CR6"/>
    <mergeCell ref="CS6:DG6"/>
    <mergeCell ref="AK7:AM7"/>
    <mergeCell ref="AN7:AP7"/>
    <mergeCell ref="AQ7:AS7"/>
    <mergeCell ref="AT7:AV7"/>
    <mergeCell ref="AW7:AY7"/>
    <mergeCell ref="AZ7:BB7"/>
    <mergeCell ref="BC7:BE7"/>
    <mergeCell ref="CM28:CO28"/>
    <mergeCell ref="CP28:CR28"/>
    <mergeCell ref="CS28:CU28"/>
    <mergeCell ref="CV28:CX28"/>
    <mergeCell ref="CY28:DA28"/>
    <mergeCell ref="DB28:DD28"/>
    <mergeCell ref="BU28:BW28"/>
    <mergeCell ref="DB49:DD49"/>
    <mergeCell ref="DB60:DD60"/>
    <mergeCell ref="DE49:DG49"/>
    <mergeCell ref="DE60:DG60"/>
    <mergeCell ref="G48:CR48"/>
    <mergeCell ref="CS48:DG48"/>
    <mergeCell ref="CS49:CU49"/>
    <mergeCell ref="CS60:CU60"/>
    <mergeCell ref="CV49:CX49"/>
    <mergeCell ref="CV60:CX60"/>
    <mergeCell ref="CY49:DA49"/>
    <mergeCell ref="CY60:DA60"/>
    <mergeCell ref="CJ49:CL49"/>
    <mergeCell ref="CM49:CO49"/>
    <mergeCell ref="CP49:CR49"/>
    <mergeCell ref="CP60:CR60"/>
    <mergeCell ref="CG49:CI49"/>
    <mergeCell ref="CG60:CI60"/>
    <mergeCell ref="CM60:CO60"/>
    <mergeCell ref="BC60:BE60"/>
    <mergeCell ref="BI60:BK60"/>
    <mergeCell ref="BF60:BH60"/>
    <mergeCell ref="BL60:BN60"/>
    <mergeCell ref="BO28:BQ28"/>
    <mergeCell ref="CJ60:CL60"/>
    <mergeCell ref="CJ28:CL28"/>
    <mergeCell ref="BR28:BT28"/>
    <mergeCell ref="BX49:BZ49"/>
    <mergeCell ref="CA49:CC49"/>
    <mergeCell ref="CD49:CF49"/>
    <mergeCell ref="BX60:BZ60"/>
    <mergeCell ref="CA60:CC60"/>
    <mergeCell ref="CD60:CF60"/>
    <mergeCell ref="BO49:BQ49"/>
    <mergeCell ref="BR49:BT49"/>
    <mergeCell ref="BU49:BW49"/>
    <mergeCell ref="BO60:BQ60"/>
    <mergeCell ref="BR60:BT60"/>
    <mergeCell ref="BU60:BW60"/>
    <mergeCell ref="BC49:BE49"/>
    <mergeCell ref="Y61:AA61"/>
    <mergeCell ref="AB61:AD61"/>
    <mergeCell ref="AE61:AG61"/>
    <mergeCell ref="AH61:AJ61"/>
    <mergeCell ref="J60:L60"/>
    <mergeCell ref="M60:O60"/>
    <mergeCell ref="P60:R60"/>
    <mergeCell ref="S60:U60"/>
    <mergeCell ref="V60:X60"/>
    <mergeCell ref="Y60:AA60"/>
    <mergeCell ref="AH60:AJ60"/>
    <mergeCell ref="G61:I61"/>
    <mergeCell ref="J61:L61"/>
    <mergeCell ref="M61:O61"/>
    <mergeCell ref="P61:R61"/>
    <mergeCell ref="S61:U61"/>
    <mergeCell ref="V61:X61"/>
    <mergeCell ref="M7:O7"/>
    <mergeCell ref="P7:R7"/>
    <mergeCell ref="S7:U7"/>
    <mergeCell ref="V7:X7"/>
    <mergeCell ref="J7:L7"/>
    <mergeCell ref="G47:DG47"/>
    <mergeCell ref="AK61:AM61"/>
    <mergeCell ref="AN49:AP49"/>
    <mergeCell ref="AQ49:AS49"/>
    <mergeCell ref="AW49:AY49"/>
    <mergeCell ref="AN60:AP60"/>
    <mergeCell ref="AQ60:AS60"/>
    <mergeCell ref="AT60:AV60"/>
    <mergeCell ref="AW60:AY60"/>
    <mergeCell ref="AZ49:BB49"/>
    <mergeCell ref="AZ60:BB60"/>
    <mergeCell ref="AK49:AM49"/>
    <mergeCell ref="AK60:AM60"/>
    <mergeCell ref="B60:F60"/>
    <mergeCell ref="AB49:AD49"/>
    <mergeCell ref="AE49:AG49"/>
    <mergeCell ref="AH49:AJ49"/>
    <mergeCell ref="AB28:AD28"/>
    <mergeCell ref="AE28:AG28"/>
    <mergeCell ref="AH28:AJ28"/>
    <mergeCell ref="AB60:AD60"/>
    <mergeCell ref="AE60:AG60"/>
    <mergeCell ref="J49:L49"/>
    <mergeCell ref="M49:O49"/>
    <mergeCell ref="P49:R49"/>
    <mergeCell ref="S49:U49"/>
    <mergeCell ref="V49:X49"/>
    <mergeCell ref="Y49:AA49"/>
    <mergeCell ref="P28:R28"/>
    <mergeCell ref="S28:U28"/>
    <mergeCell ref="V28:X28"/>
    <mergeCell ref="Y28:AA28"/>
    <mergeCell ref="D47:F48"/>
    <mergeCell ref="B47:C49"/>
    <mergeCell ref="G49:I49"/>
    <mergeCell ref="G60:I60"/>
    <mergeCell ref="D49:F49"/>
    <mergeCell ref="AT49:AV49"/>
    <mergeCell ref="BF49:BH49"/>
    <mergeCell ref="BI49:BK49"/>
    <mergeCell ref="D5:F6"/>
    <mergeCell ref="D26:F27"/>
    <mergeCell ref="G7:I7"/>
    <mergeCell ref="B5:C7"/>
    <mergeCell ref="B26:C28"/>
    <mergeCell ref="G28:I28"/>
    <mergeCell ref="J28:L28"/>
    <mergeCell ref="M28:O28"/>
    <mergeCell ref="D7:F7"/>
    <mergeCell ref="D28:F28"/>
    <mergeCell ref="G27:CR27"/>
    <mergeCell ref="BL28:BN28"/>
    <mergeCell ref="AK28:AM28"/>
    <mergeCell ref="AN28:AP28"/>
    <mergeCell ref="AQ28:AS28"/>
    <mergeCell ref="AB7:AD7"/>
    <mergeCell ref="AE7:AG7"/>
    <mergeCell ref="AH7:AJ7"/>
    <mergeCell ref="Y7:AA7"/>
    <mergeCell ref="BL49:BN49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0ADF-8ED2-4985-9E4A-C518230A507C}">
  <dimension ref="B2:DH61"/>
  <sheetViews>
    <sheetView topLeftCell="A34" zoomScale="70" zoomScaleNormal="70" workbookViewId="0">
      <selection activeCell="DH60" sqref="DH60"/>
    </sheetView>
  </sheetViews>
  <sheetFormatPr defaultRowHeight="15" x14ac:dyDescent="0.25"/>
  <cols>
    <col min="1" max="2" width="9.140625" style="1"/>
    <col min="3" max="3" width="9.85546875" style="1" customWidth="1"/>
    <col min="4" max="4" width="5" style="1" customWidth="1"/>
    <col min="5" max="5" width="4.140625" style="1" customWidth="1"/>
    <col min="6" max="6" width="4" style="1" customWidth="1"/>
    <col min="7" max="92" width="2.5703125" style="1" customWidth="1"/>
    <col min="93" max="111" width="2.42578125" style="1" customWidth="1"/>
    <col min="112" max="112" width="10" style="1" customWidth="1"/>
    <col min="113" max="16384" width="9.140625" style="1"/>
  </cols>
  <sheetData>
    <row r="2" spans="2:112" ht="28.5" customHeight="1" x14ac:dyDescent="0.25">
      <c r="B2" s="160" t="s">
        <v>29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0"/>
      <c r="AP2" s="160"/>
      <c r="AQ2" s="160"/>
      <c r="AR2" s="160"/>
      <c r="AS2" s="160"/>
      <c r="AT2" s="160"/>
      <c r="AU2" s="160"/>
      <c r="AV2" s="160"/>
      <c r="AW2" s="160"/>
      <c r="AX2" s="160"/>
      <c r="AY2" s="160"/>
      <c r="AZ2" s="160"/>
      <c r="BA2" s="160"/>
      <c r="BB2" s="160"/>
      <c r="BC2" s="160"/>
      <c r="BD2" s="160"/>
      <c r="BE2" s="160"/>
      <c r="BF2" s="160"/>
      <c r="BG2" s="160"/>
      <c r="BH2" s="160"/>
      <c r="BI2" s="160"/>
      <c r="BJ2" s="160"/>
      <c r="BK2" s="160"/>
      <c r="BL2" s="160"/>
      <c r="BM2" s="160"/>
      <c r="BN2" s="160"/>
      <c r="BO2" s="160"/>
      <c r="BP2" s="160"/>
      <c r="BQ2" s="160"/>
      <c r="BR2" s="160"/>
      <c r="BS2" s="160"/>
      <c r="BT2" s="160"/>
      <c r="BU2" s="160"/>
      <c r="BV2" s="160"/>
      <c r="BW2" s="160"/>
      <c r="BX2" s="160"/>
      <c r="BY2" s="160"/>
      <c r="BZ2" s="160"/>
      <c r="CA2" s="160"/>
      <c r="CB2" s="160"/>
      <c r="CC2" s="160"/>
      <c r="CD2" s="160"/>
      <c r="CE2" s="160"/>
      <c r="CF2" s="160"/>
      <c r="CG2" s="160"/>
      <c r="CH2" s="160"/>
      <c r="CI2" s="160"/>
      <c r="CJ2" s="160"/>
      <c r="CK2" s="160"/>
      <c r="CL2" s="160"/>
      <c r="CM2" s="160"/>
      <c r="CN2" s="160"/>
      <c r="CO2" s="160"/>
      <c r="CP2" s="160"/>
      <c r="CQ2" s="160"/>
      <c r="CR2" s="160"/>
      <c r="CS2" s="160"/>
      <c r="CT2" s="160"/>
      <c r="CU2" s="160"/>
      <c r="CV2" s="160"/>
      <c r="CW2" s="160"/>
      <c r="CX2" s="160"/>
      <c r="CY2" s="160"/>
      <c r="CZ2" s="160"/>
      <c r="DA2" s="160"/>
      <c r="DB2" s="160"/>
      <c r="DC2" s="160"/>
      <c r="DD2" s="160"/>
      <c r="DE2" s="160"/>
      <c r="DF2" s="160"/>
      <c r="DG2" s="160"/>
      <c r="DH2" s="160"/>
    </row>
    <row r="3" spans="2:112" ht="20.25" x14ac:dyDescent="0.25">
      <c r="B3" s="160" t="s">
        <v>66</v>
      </c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  <c r="AX3" s="160"/>
      <c r="AY3" s="160"/>
      <c r="AZ3" s="160"/>
      <c r="BA3" s="160"/>
      <c r="BB3" s="160"/>
      <c r="BC3" s="160"/>
      <c r="BD3" s="160"/>
      <c r="BE3" s="160"/>
      <c r="BF3" s="160"/>
      <c r="BG3" s="160"/>
      <c r="BH3" s="160"/>
      <c r="BI3" s="160"/>
      <c r="BJ3" s="160"/>
      <c r="BK3" s="160"/>
      <c r="BL3" s="160"/>
      <c r="BM3" s="160"/>
      <c r="BN3" s="160"/>
      <c r="BO3" s="160"/>
      <c r="BP3" s="160"/>
      <c r="BQ3" s="160"/>
      <c r="BR3" s="160"/>
      <c r="BS3" s="160"/>
      <c r="BT3" s="160"/>
      <c r="BU3" s="160"/>
      <c r="BV3" s="160"/>
      <c r="BW3" s="160"/>
      <c r="BX3" s="160"/>
      <c r="BY3" s="160"/>
      <c r="BZ3" s="160"/>
      <c r="CA3" s="160"/>
      <c r="CB3" s="160"/>
      <c r="CC3" s="160"/>
      <c r="CD3" s="160"/>
      <c r="CE3" s="160"/>
      <c r="CF3" s="160"/>
      <c r="CG3" s="160"/>
      <c r="CH3" s="160"/>
      <c r="CI3" s="160"/>
      <c r="CJ3" s="160"/>
      <c r="CK3" s="160"/>
      <c r="CL3" s="160"/>
      <c r="CM3" s="160"/>
      <c r="CN3" s="160"/>
      <c r="CO3" s="160"/>
      <c r="CP3" s="160"/>
      <c r="CQ3" s="160"/>
      <c r="CR3" s="160"/>
      <c r="CS3" s="160"/>
      <c r="CT3" s="160"/>
      <c r="CU3" s="160"/>
      <c r="CV3" s="160"/>
      <c r="CW3" s="160"/>
      <c r="CX3" s="160"/>
      <c r="CY3" s="160"/>
      <c r="CZ3" s="160"/>
      <c r="DA3" s="160"/>
      <c r="DB3" s="160"/>
      <c r="DC3" s="160"/>
      <c r="DD3" s="160"/>
      <c r="DE3" s="160"/>
      <c r="DF3" s="160"/>
      <c r="DG3" s="160"/>
      <c r="DH3" s="160"/>
    </row>
    <row r="5" spans="2:112" x14ac:dyDescent="0.25">
      <c r="B5" s="128" t="s">
        <v>64</v>
      </c>
      <c r="C5" s="129"/>
      <c r="D5" s="121" t="s">
        <v>30</v>
      </c>
      <c r="E5" s="122"/>
      <c r="F5" s="123"/>
      <c r="G5" s="146" t="s">
        <v>31</v>
      </c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7"/>
      <c r="BF5" s="147"/>
      <c r="BG5" s="147"/>
      <c r="BH5" s="147"/>
      <c r="BI5" s="147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  <c r="BW5" s="147"/>
      <c r="BX5" s="147"/>
      <c r="BY5" s="147"/>
      <c r="BZ5" s="147"/>
      <c r="CA5" s="147"/>
      <c r="CB5" s="147"/>
      <c r="CC5" s="147"/>
      <c r="CD5" s="147"/>
      <c r="CE5" s="147"/>
      <c r="CF5" s="147"/>
      <c r="CG5" s="147"/>
      <c r="CH5" s="147"/>
      <c r="CI5" s="147"/>
      <c r="CJ5" s="147"/>
      <c r="CK5" s="147"/>
      <c r="CL5" s="147"/>
      <c r="CM5" s="147"/>
      <c r="CN5" s="147"/>
      <c r="CO5" s="147"/>
      <c r="CP5" s="147"/>
      <c r="CQ5" s="147"/>
      <c r="CR5" s="147"/>
      <c r="CS5" s="147"/>
      <c r="CT5" s="147"/>
      <c r="CU5" s="147"/>
      <c r="CV5" s="147"/>
      <c r="CW5" s="147"/>
      <c r="CX5" s="147"/>
      <c r="CY5" s="147"/>
      <c r="CZ5" s="147"/>
      <c r="DA5" s="147"/>
      <c r="DB5" s="147"/>
      <c r="DC5" s="147"/>
      <c r="DD5" s="147"/>
      <c r="DE5" s="147"/>
      <c r="DF5" s="147"/>
      <c r="DG5" s="148"/>
      <c r="DH5" s="157" t="s">
        <v>63</v>
      </c>
    </row>
    <row r="6" spans="2:112" x14ac:dyDescent="0.25">
      <c r="B6" s="128"/>
      <c r="C6" s="129"/>
      <c r="D6" s="124"/>
      <c r="E6" s="125"/>
      <c r="F6" s="126"/>
      <c r="G6" s="139">
        <v>46174</v>
      </c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/>
      <c r="AY6" s="140"/>
      <c r="AZ6" s="140"/>
      <c r="BA6" s="140"/>
      <c r="BB6" s="140"/>
      <c r="BC6" s="140"/>
      <c r="BD6" s="140"/>
      <c r="BE6" s="140"/>
      <c r="BF6" s="140"/>
      <c r="BG6" s="140"/>
      <c r="BH6" s="140"/>
      <c r="BI6" s="140"/>
      <c r="BJ6" s="140"/>
      <c r="BK6" s="140"/>
      <c r="BL6" s="140"/>
      <c r="BM6" s="140"/>
      <c r="BN6" s="140"/>
      <c r="BO6" s="140"/>
      <c r="BP6" s="140"/>
      <c r="BQ6" s="140"/>
      <c r="BR6" s="140"/>
      <c r="BS6" s="140"/>
      <c r="BT6" s="140"/>
      <c r="BU6" s="140"/>
      <c r="BV6" s="140"/>
      <c r="BW6" s="140"/>
      <c r="BX6" s="140"/>
      <c r="BY6" s="140"/>
      <c r="BZ6" s="140"/>
      <c r="CA6" s="140"/>
      <c r="CB6" s="140"/>
      <c r="CC6" s="140"/>
      <c r="CD6" s="140"/>
      <c r="CE6" s="140"/>
      <c r="CF6" s="140"/>
      <c r="CG6" s="140"/>
      <c r="CH6" s="140"/>
      <c r="CI6" s="140"/>
      <c r="CJ6" s="140"/>
      <c r="CK6" s="140"/>
      <c r="CL6" s="140"/>
      <c r="CM6" s="140"/>
      <c r="CN6" s="140"/>
      <c r="CO6" s="140"/>
      <c r="CP6" s="140"/>
      <c r="CQ6" s="140"/>
      <c r="CR6" s="140"/>
      <c r="CS6" s="154">
        <v>46204</v>
      </c>
      <c r="CT6" s="155"/>
      <c r="CU6" s="155"/>
      <c r="CV6" s="155"/>
      <c r="CW6" s="155"/>
      <c r="CX6" s="155"/>
      <c r="CY6" s="155"/>
      <c r="CZ6" s="155"/>
      <c r="DA6" s="155"/>
      <c r="DB6" s="155"/>
      <c r="DC6" s="155"/>
      <c r="DD6" s="155"/>
      <c r="DE6" s="155"/>
      <c r="DF6" s="155"/>
      <c r="DG6" s="156"/>
      <c r="DH6" s="158"/>
    </row>
    <row r="7" spans="2:112" ht="43.5" customHeight="1" x14ac:dyDescent="0.25">
      <c r="B7" s="128"/>
      <c r="C7" s="129"/>
      <c r="D7" s="136" t="s">
        <v>21</v>
      </c>
      <c r="E7" s="137"/>
      <c r="F7" s="138"/>
      <c r="G7" s="127" t="s">
        <v>32</v>
      </c>
      <c r="H7" s="120"/>
      <c r="I7" s="120"/>
      <c r="J7" s="120" t="s">
        <v>33</v>
      </c>
      <c r="K7" s="120"/>
      <c r="L7" s="120"/>
      <c r="M7" s="120" t="s">
        <v>34</v>
      </c>
      <c r="N7" s="120"/>
      <c r="O7" s="120"/>
      <c r="P7" s="120" t="s">
        <v>35</v>
      </c>
      <c r="Q7" s="120"/>
      <c r="R7" s="120"/>
      <c r="S7" s="120" t="s">
        <v>36</v>
      </c>
      <c r="T7" s="120"/>
      <c r="U7" s="120"/>
      <c r="V7" s="120" t="s">
        <v>37</v>
      </c>
      <c r="W7" s="120"/>
      <c r="X7" s="120"/>
      <c r="Y7" s="120" t="s">
        <v>38</v>
      </c>
      <c r="Z7" s="120"/>
      <c r="AA7" s="120"/>
      <c r="AB7" s="120" t="s">
        <v>40</v>
      </c>
      <c r="AC7" s="120"/>
      <c r="AD7" s="120"/>
      <c r="AE7" s="120" t="s">
        <v>41</v>
      </c>
      <c r="AF7" s="120"/>
      <c r="AG7" s="120"/>
      <c r="AH7" s="120" t="s">
        <v>42</v>
      </c>
      <c r="AI7" s="120"/>
      <c r="AJ7" s="120"/>
      <c r="AK7" s="120" t="s">
        <v>43</v>
      </c>
      <c r="AL7" s="120"/>
      <c r="AM7" s="120"/>
      <c r="AN7" s="120" t="s">
        <v>44</v>
      </c>
      <c r="AO7" s="120"/>
      <c r="AP7" s="120"/>
      <c r="AQ7" s="120" t="s">
        <v>45</v>
      </c>
      <c r="AR7" s="120"/>
      <c r="AS7" s="120"/>
      <c r="AT7" s="120" t="s">
        <v>46</v>
      </c>
      <c r="AU7" s="120"/>
      <c r="AV7" s="120"/>
      <c r="AW7" s="120" t="s">
        <v>47</v>
      </c>
      <c r="AX7" s="120"/>
      <c r="AY7" s="120"/>
      <c r="AZ7" s="120" t="s">
        <v>48</v>
      </c>
      <c r="BA7" s="120"/>
      <c r="BB7" s="120"/>
      <c r="BC7" s="120" t="s">
        <v>49</v>
      </c>
      <c r="BD7" s="120"/>
      <c r="BE7" s="120"/>
      <c r="BF7" s="120" t="s">
        <v>50</v>
      </c>
      <c r="BG7" s="120"/>
      <c r="BH7" s="120"/>
      <c r="BI7" s="120" t="s">
        <v>51</v>
      </c>
      <c r="BJ7" s="120"/>
      <c r="BK7" s="120"/>
      <c r="BL7" s="120" t="s">
        <v>52</v>
      </c>
      <c r="BM7" s="120"/>
      <c r="BN7" s="120"/>
      <c r="BO7" s="120" t="s">
        <v>53</v>
      </c>
      <c r="BP7" s="120"/>
      <c r="BQ7" s="120"/>
      <c r="BR7" s="120" t="s">
        <v>54</v>
      </c>
      <c r="BS7" s="120"/>
      <c r="BT7" s="120"/>
      <c r="BU7" s="120" t="s">
        <v>55</v>
      </c>
      <c r="BV7" s="120"/>
      <c r="BW7" s="120"/>
      <c r="BX7" s="120" t="s">
        <v>56</v>
      </c>
      <c r="BY7" s="120"/>
      <c r="BZ7" s="120"/>
      <c r="CA7" s="120" t="s">
        <v>57</v>
      </c>
      <c r="CB7" s="120"/>
      <c r="CC7" s="120"/>
      <c r="CD7" s="120" t="s">
        <v>58</v>
      </c>
      <c r="CE7" s="120"/>
      <c r="CF7" s="120"/>
      <c r="CG7" s="120" t="s">
        <v>59</v>
      </c>
      <c r="CH7" s="120"/>
      <c r="CI7" s="120"/>
      <c r="CJ7" s="120" t="s">
        <v>60</v>
      </c>
      <c r="CK7" s="120"/>
      <c r="CL7" s="120"/>
      <c r="CM7" s="120" t="s">
        <v>61</v>
      </c>
      <c r="CN7" s="120"/>
      <c r="CO7" s="120"/>
      <c r="CP7" s="120" t="s">
        <v>62</v>
      </c>
      <c r="CQ7" s="120"/>
      <c r="CR7" s="120"/>
      <c r="CS7" s="120" t="s">
        <v>32</v>
      </c>
      <c r="CT7" s="120"/>
      <c r="CU7" s="120"/>
      <c r="CV7" s="120" t="s">
        <v>33</v>
      </c>
      <c r="CW7" s="120"/>
      <c r="CX7" s="120"/>
      <c r="CY7" s="120" t="s">
        <v>34</v>
      </c>
      <c r="CZ7" s="120"/>
      <c r="DA7" s="120"/>
      <c r="DB7" s="120" t="s">
        <v>35</v>
      </c>
      <c r="DC7" s="120"/>
      <c r="DD7" s="120"/>
      <c r="DE7" s="120" t="s">
        <v>36</v>
      </c>
      <c r="DF7" s="120"/>
      <c r="DG7" s="149"/>
      <c r="DH7" s="159"/>
    </row>
    <row r="8" spans="2:112" ht="38.25" customHeight="1" x14ac:dyDescent="0.25">
      <c r="B8" s="2" t="s">
        <v>0</v>
      </c>
      <c r="C8" s="10" t="s">
        <v>1</v>
      </c>
      <c r="D8" s="26" t="s">
        <v>2</v>
      </c>
      <c r="E8" s="27" t="s">
        <v>3</v>
      </c>
      <c r="F8" s="28" t="s">
        <v>4</v>
      </c>
      <c r="G8" s="24" t="s">
        <v>2</v>
      </c>
      <c r="H8" s="25" t="s">
        <v>3</v>
      </c>
      <c r="I8" s="31" t="s">
        <v>4</v>
      </c>
      <c r="J8" s="32" t="s">
        <v>2</v>
      </c>
      <c r="K8" s="25" t="s">
        <v>3</v>
      </c>
      <c r="L8" s="31" t="s">
        <v>4</v>
      </c>
      <c r="M8" s="32" t="s">
        <v>2</v>
      </c>
      <c r="N8" s="25" t="s">
        <v>3</v>
      </c>
      <c r="O8" s="31" t="s">
        <v>4</v>
      </c>
      <c r="P8" s="32" t="s">
        <v>2</v>
      </c>
      <c r="Q8" s="25" t="s">
        <v>3</v>
      </c>
      <c r="R8" s="31" t="s">
        <v>4</v>
      </c>
      <c r="S8" s="32" t="s">
        <v>2</v>
      </c>
      <c r="T8" s="25" t="s">
        <v>3</v>
      </c>
      <c r="U8" s="31" t="s">
        <v>4</v>
      </c>
      <c r="V8" s="32" t="s">
        <v>2</v>
      </c>
      <c r="W8" s="25" t="s">
        <v>3</v>
      </c>
      <c r="X8" s="31" t="s">
        <v>4</v>
      </c>
      <c r="Y8" s="32" t="s">
        <v>2</v>
      </c>
      <c r="Z8" s="25" t="s">
        <v>3</v>
      </c>
      <c r="AA8" s="31" t="s">
        <v>4</v>
      </c>
      <c r="AB8" s="32" t="s">
        <v>2</v>
      </c>
      <c r="AC8" s="25" t="s">
        <v>3</v>
      </c>
      <c r="AD8" s="31" t="s">
        <v>4</v>
      </c>
      <c r="AE8" s="32" t="s">
        <v>2</v>
      </c>
      <c r="AF8" s="25" t="s">
        <v>3</v>
      </c>
      <c r="AG8" s="31" t="s">
        <v>4</v>
      </c>
      <c r="AH8" s="32" t="s">
        <v>2</v>
      </c>
      <c r="AI8" s="25" t="s">
        <v>3</v>
      </c>
      <c r="AJ8" s="31" t="s">
        <v>4</v>
      </c>
      <c r="AK8" s="32" t="s">
        <v>2</v>
      </c>
      <c r="AL8" s="25" t="s">
        <v>3</v>
      </c>
      <c r="AM8" s="31" t="s">
        <v>4</v>
      </c>
      <c r="AN8" s="32" t="s">
        <v>2</v>
      </c>
      <c r="AO8" s="25" t="s">
        <v>3</v>
      </c>
      <c r="AP8" s="31" t="s">
        <v>4</v>
      </c>
      <c r="AQ8" s="32" t="s">
        <v>2</v>
      </c>
      <c r="AR8" s="25" t="s">
        <v>3</v>
      </c>
      <c r="AS8" s="31" t="s">
        <v>4</v>
      </c>
      <c r="AT8" s="32" t="s">
        <v>2</v>
      </c>
      <c r="AU8" s="25" t="s">
        <v>3</v>
      </c>
      <c r="AV8" s="31" t="s">
        <v>4</v>
      </c>
      <c r="AW8" s="32" t="s">
        <v>2</v>
      </c>
      <c r="AX8" s="25" t="s">
        <v>3</v>
      </c>
      <c r="AY8" s="31" t="s">
        <v>4</v>
      </c>
      <c r="AZ8" s="32" t="s">
        <v>2</v>
      </c>
      <c r="BA8" s="25" t="s">
        <v>3</v>
      </c>
      <c r="BB8" s="31" t="s">
        <v>4</v>
      </c>
      <c r="BC8" s="32" t="s">
        <v>2</v>
      </c>
      <c r="BD8" s="25" t="s">
        <v>3</v>
      </c>
      <c r="BE8" s="31" t="s">
        <v>4</v>
      </c>
      <c r="BF8" s="32" t="s">
        <v>2</v>
      </c>
      <c r="BG8" s="25" t="s">
        <v>3</v>
      </c>
      <c r="BH8" s="31" t="s">
        <v>4</v>
      </c>
      <c r="BI8" s="32" t="s">
        <v>2</v>
      </c>
      <c r="BJ8" s="25" t="s">
        <v>3</v>
      </c>
      <c r="BK8" s="31" t="s">
        <v>4</v>
      </c>
      <c r="BL8" s="32" t="s">
        <v>2</v>
      </c>
      <c r="BM8" s="25" t="s">
        <v>3</v>
      </c>
      <c r="BN8" s="31" t="s">
        <v>4</v>
      </c>
      <c r="BO8" s="32" t="s">
        <v>2</v>
      </c>
      <c r="BP8" s="25" t="s">
        <v>3</v>
      </c>
      <c r="BQ8" s="31" t="s">
        <v>4</v>
      </c>
      <c r="BR8" s="32" t="s">
        <v>2</v>
      </c>
      <c r="BS8" s="25" t="s">
        <v>3</v>
      </c>
      <c r="BT8" s="31" t="s">
        <v>4</v>
      </c>
      <c r="BU8" s="32" t="s">
        <v>2</v>
      </c>
      <c r="BV8" s="25" t="s">
        <v>3</v>
      </c>
      <c r="BW8" s="31" t="s">
        <v>4</v>
      </c>
      <c r="BX8" s="32" t="s">
        <v>2</v>
      </c>
      <c r="BY8" s="25" t="s">
        <v>3</v>
      </c>
      <c r="BZ8" s="31" t="s">
        <v>4</v>
      </c>
      <c r="CA8" s="32" t="s">
        <v>2</v>
      </c>
      <c r="CB8" s="25" t="s">
        <v>3</v>
      </c>
      <c r="CC8" s="31" t="s">
        <v>4</v>
      </c>
      <c r="CD8" s="32" t="s">
        <v>2</v>
      </c>
      <c r="CE8" s="25" t="s">
        <v>3</v>
      </c>
      <c r="CF8" s="31" t="s">
        <v>4</v>
      </c>
      <c r="CG8" s="32" t="s">
        <v>2</v>
      </c>
      <c r="CH8" s="25" t="s">
        <v>3</v>
      </c>
      <c r="CI8" s="31" t="s">
        <v>4</v>
      </c>
      <c r="CJ8" s="32" t="s">
        <v>2</v>
      </c>
      <c r="CK8" s="25" t="s">
        <v>3</v>
      </c>
      <c r="CL8" s="31" t="s">
        <v>4</v>
      </c>
      <c r="CM8" s="32" t="s">
        <v>2</v>
      </c>
      <c r="CN8" s="25" t="s">
        <v>3</v>
      </c>
      <c r="CO8" s="31" t="s">
        <v>4</v>
      </c>
      <c r="CP8" s="32" t="s">
        <v>2</v>
      </c>
      <c r="CQ8" s="25" t="s">
        <v>3</v>
      </c>
      <c r="CR8" s="31" t="s">
        <v>4</v>
      </c>
      <c r="CS8" s="32" t="s">
        <v>2</v>
      </c>
      <c r="CT8" s="25" t="s">
        <v>3</v>
      </c>
      <c r="CU8" s="31" t="s">
        <v>4</v>
      </c>
      <c r="CV8" s="32" t="s">
        <v>2</v>
      </c>
      <c r="CW8" s="25" t="s">
        <v>3</v>
      </c>
      <c r="CX8" s="31" t="s">
        <v>4</v>
      </c>
      <c r="CY8" s="32" t="s">
        <v>2</v>
      </c>
      <c r="CZ8" s="25" t="s">
        <v>3</v>
      </c>
      <c r="DA8" s="31" t="s">
        <v>4</v>
      </c>
      <c r="DB8" s="32" t="s">
        <v>2</v>
      </c>
      <c r="DC8" s="25" t="s">
        <v>3</v>
      </c>
      <c r="DD8" s="31" t="s">
        <v>4</v>
      </c>
      <c r="DE8" s="32" t="s">
        <v>2</v>
      </c>
      <c r="DF8" s="25" t="s">
        <v>3</v>
      </c>
      <c r="DG8" s="60" t="s">
        <v>4</v>
      </c>
      <c r="DH8" s="64"/>
    </row>
    <row r="9" spans="2:112" x14ac:dyDescent="0.25">
      <c r="B9" s="3" t="s">
        <v>5</v>
      </c>
      <c r="C9" s="11">
        <v>1</v>
      </c>
      <c r="D9" s="16">
        <v>1</v>
      </c>
      <c r="E9" s="4">
        <v>1</v>
      </c>
      <c r="F9" s="17">
        <v>1</v>
      </c>
      <c r="G9" s="14">
        <v>1</v>
      </c>
      <c r="H9" s="2">
        <v>1</v>
      </c>
      <c r="I9" s="33">
        <v>1</v>
      </c>
      <c r="J9" s="39"/>
      <c r="K9" s="2"/>
      <c r="L9" s="33"/>
      <c r="M9" s="39"/>
      <c r="N9" s="2"/>
      <c r="O9" s="33"/>
      <c r="P9" s="39"/>
      <c r="Q9" s="2"/>
      <c r="R9" s="33"/>
      <c r="S9" s="39"/>
      <c r="T9" s="2"/>
      <c r="U9" s="33"/>
      <c r="V9" s="39"/>
      <c r="W9" s="2"/>
      <c r="X9" s="33"/>
      <c r="Y9" s="50"/>
      <c r="Z9" s="51"/>
      <c r="AA9" s="52"/>
      <c r="AB9" s="39"/>
      <c r="AC9" s="2"/>
      <c r="AD9" s="33"/>
      <c r="AE9" s="44"/>
      <c r="AF9" s="45"/>
      <c r="AG9" s="46"/>
      <c r="AH9" s="44"/>
      <c r="AI9" s="45"/>
      <c r="AJ9" s="46"/>
      <c r="AK9" s="44"/>
      <c r="AL9" s="45"/>
      <c r="AM9" s="46"/>
      <c r="AN9" s="44"/>
      <c r="AO9" s="45"/>
      <c r="AP9" s="46"/>
      <c r="AQ9" s="44"/>
      <c r="AR9" s="45"/>
      <c r="AS9" s="46"/>
      <c r="AT9" s="44"/>
      <c r="AU9" s="45"/>
      <c r="AV9" s="46"/>
      <c r="AW9" s="44"/>
      <c r="AX9" s="45"/>
      <c r="AY9" s="46"/>
      <c r="AZ9" s="50"/>
      <c r="BA9" s="51"/>
      <c r="BB9" s="52"/>
      <c r="BC9" s="50"/>
      <c r="BD9" s="51"/>
      <c r="BE9" s="52"/>
      <c r="BF9" s="50"/>
      <c r="BG9" s="51"/>
      <c r="BH9" s="52"/>
      <c r="BI9" s="50"/>
      <c r="BJ9" s="51"/>
      <c r="BK9" s="52"/>
      <c r="BL9" s="50"/>
      <c r="BM9" s="51"/>
      <c r="BN9" s="52"/>
      <c r="BO9" s="50"/>
      <c r="BP9" s="51"/>
      <c r="BQ9" s="52"/>
      <c r="BR9" s="50"/>
      <c r="BS9" s="51"/>
      <c r="BT9" s="52"/>
      <c r="BU9" s="50"/>
      <c r="BV9" s="51"/>
      <c r="BW9" s="52"/>
      <c r="BX9" s="50"/>
      <c r="BY9" s="51"/>
      <c r="BZ9" s="52"/>
      <c r="CA9" s="50"/>
      <c r="CB9" s="51"/>
      <c r="CC9" s="52"/>
      <c r="CD9" s="50"/>
      <c r="CE9" s="51"/>
      <c r="CF9" s="52"/>
      <c r="CG9" s="50"/>
      <c r="CH9" s="51"/>
      <c r="CI9" s="52"/>
      <c r="CJ9" s="50"/>
      <c r="CK9" s="51"/>
      <c r="CL9" s="52"/>
      <c r="CM9" s="50"/>
      <c r="CN9" s="51"/>
      <c r="CO9" s="52"/>
      <c r="CP9" s="50"/>
      <c r="CQ9" s="51"/>
      <c r="CR9" s="52"/>
      <c r="CS9" s="50"/>
      <c r="CT9" s="51"/>
      <c r="CU9" s="52"/>
      <c r="CV9" s="50"/>
      <c r="CW9" s="51"/>
      <c r="CX9" s="52"/>
      <c r="CY9" s="50"/>
      <c r="CZ9" s="51"/>
      <c r="DA9" s="52"/>
      <c r="DB9" s="50"/>
      <c r="DC9" s="51"/>
      <c r="DD9" s="52"/>
      <c r="DE9" s="50"/>
      <c r="DF9" s="51"/>
      <c r="DG9" s="69"/>
      <c r="DH9" s="64">
        <f>SUM(G9:DG9)</f>
        <v>3</v>
      </c>
    </row>
    <row r="10" spans="2:112" x14ac:dyDescent="0.25">
      <c r="B10" s="3" t="s">
        <v>6</v>
      </c>
      <c r="C10" s="11">
        <v>1</v>
      </c>
      <c r="D10" s="16">
        <v>1</v>
      </c>
      <c r="E10" s="4">
        <v>1</v>
      </c>
      <c r="F10" s="17">
        <v>1</v>
      </c>
      <c r="G10" s="14">
        <v>1</v>
      </c>
      <c r="H10" s="2">
        <v>1</v>
      </c>
      <c r="I10" s="33">
        <v>1</v>
      </c>
      <c r="J10" s="39"/>
      <c r="K10" s="2"/>
      <c r="L10" s="33"/>
      <c r="M10" s="39"/>
      <c r="N10" s="2"/>
      <c r="O10" s="33"/>
      <c r="P10" s="39"/>
      <c r="Q10" s="2"/>
      <c r="R10" s="33"/>
      <c r="S10" s="39"/>
      <c r="T10" s="2"/>
      <c r="U10" s="33"/>
      <c r="V10" s="39"/>
      <c r="W10" s="2"/>
      <c r="X10" s="33"/>
      <c r="Y10" s="50"/>
      <c r="Z10" s="51"/>
      <c r="AA10" s="52"/>
      <c r="AB10" s="39"/>
      <c r="AC10" s="2"/>
      <c r="AD10" s="33"/>
      <c r="AE10" s="44"/>
      <c r="AF10" s="45"/>
      <c r="AG10" s="46"/>
      <c r="AH10" s="44"/>
      <c r="AI10" s="45"/>
      <c r="AJ10" s="46"/>
      <c r="AK10" s="44"/>
      <c r="AL10" s="45"/>
      <c r="AM10" s="46"/>
      <c r="AN10" s="44"/>
      <c r="AO10" s="45"/>
      <c r="AP10" s="46"/>
      <c r="AQ10" s="44"/>
      <c r="AR10" s="45"/>
      <c r="AS10" s="46"/>
      <c r="AT10" s="44"/>
      <c r="AU10" s="45"/>
      <c r="AV10" s="46"/>
      <c r="AW10" s="44"/>
      <c r="AX10" s="45"/>
      <c r="AY10" s="46"/>
      <c r="AZ10" s="50"/>
      <c r="BA10" s="51"/>
      <c r="BB10" s="52"/>
      <c r="BC10" s="50"/>
      <c r="BD10" s="51"/>
      <c r="BE10" s="52"/>
      <c r="BF10" s="50"/>
      <c r="BG10" s="51"/>
      <c r="BH10" s="52"/>
      <c r="BI10" s="50"/>
      <c r="BJ10" s="51"/>
      <c r="BK10" s="52"/>
      <c r="BL10" s="50"/>
      <c r="BM10" s="51"/>
      <c r="BN10" s="52"/>
      <c r="BO10" s="50"/>
      <c r="BP10" s="51"/>
      <c r="BQ10" s="52"/>
      <c r="BR10" s="50"/>
      <c r="BS10" s="51"/>
      <c r="BT10" s="52"/>
      <c r="BU10" s="50"/>
      <c r="BV10" s="51"/>
      <c r="BW10" s="52"/>
      <c r="BX10" s="50"/>
      <c r="BY10" s="51"/>
      <c r="BZ10" s="52"/>
      <c r="CA10" s="50"/>
      <c r="CB10" s="51"/>
      <c r="CC10" s="52"/>
      <c r="CD10" s="50"/>
      <c r="CE10" s="51"/>
      <c r="CF10" s="52"/>
      <c r="CG10" s="50"/>
      <c r="CH10" s="51"/>
      <c r="CI10" s="52"/>
      <c r="CJ10" s="50"/>
      <c r="CK10" s="51"/>
      <c r="CL10" s="52"/>
      <c r="CM10" s="50"/>
      <c r="CN10" s="51"/>
      <c r="CO10" s="52"/>
      <c r="CP10" s="50"/>
      <c r="CQ10" s="51"/>
      <c r="CR10" s="52"/>
      <c r="CS10" s="50"/>
      <c r="CT10" s="51"/>
      <c r="CU10" s="52"/>
      <c r="CV10" s="50"/>
      <c r="CW10" s="51"/>
      <c r="CX10" s="52"/>
      <c r="CY10" s="50"/>
      <c r="CZ10" s="51"/>
      <c r="DA10" s="52"/>
      <c r="DB10" s="50"/>
      <c r="DC10" s="51"/>
      <c r="DD10" s="52"/>
      <c r="DE10" s="50"/>
      <c r="DF10" s="51"/>
      <c r="DG10" s="69"/>
      <c r="DH10" s="64">
        <f t="shared" ref="DH10:DH24" si="0">SUM(G10:DG10)</f>
        <v>3</v>
      </c>
    </row>
    <row r="11" spans="2:112" x14ac:dyDescent="0.25">
      <c r="B11" s="3" t="s">
        <v>7</v>
      </c>
      <c r="C11" s="11">
        <v>1</v>
      </c>
      <c r="D11" s="16">
        <v>1</v>
      </c>
      <c r="E11" s="4">
        <v>1</v>
      </c>
      <c r="F11" s="17">
        <v>1</v>
      </c>
      <c r="G11" s="14"/>
      <c r="H11" s="2"/>
      <c r="I11" s="33"/>
      <c r="J11" s="39">
        <v>1</v>
      </c>
      <c r="K11" s="2">
        <v>1</v>
      </c>
      <c r="L11" s="33">
        <v>1</v>
      </c>
      <c r="M11" s="39"/>
      <c r="N11" s="2"/>
      <c r="O11" s="33"/>
      <c r="P11" s="39"/>
      <c r="Q11" s="2"/>
      <c r="R11" s="33"/>
      <c r="S11" s="39"/>
      <c r="T11" s="2"/>
      <c r="U11" s="33"/>
      <c r="V11" s="39"/>
      <c r="W11" s="2"/>
      <c r="X11" s="33"/>
      <c r="Y11" s="50"/>
      <c r="Z11" s="51"/>
      <c r="AA11" s="52"/>
      <c r="AB11" s="39"/>
      <c r="AC11" s="2"/>
      <c r="AD11" s="33"/>
      <c r="AE11" s="44"/>
      <c r="AF11" s="45"/>
      <c r="AG11" s="46"/>
      <c r="AH11" s="44"/>
      <c r="AI11" s="45"/>
      <c r="AJ11" s="46"/>
      <c r="AK11" s="44"/>
      <c r="AL11" s="45"/>
      <c r="AM11" s="46"/>
      <c r="AN11" s="44"/>
      <c r="AO11" s="45"/>
      <c r="AP11" s="46"/>
      <c r="AQ11" s="44"/>
      <c r="AR11" s="45"/>
      <c r="AS11" s="46"/>
      <c r="AT11" s="44"/>
      <c r="AU11" s="45"/>
      <c r="AV11" s="46"/>
      <c r="AW11" s="44"/>
      <c r="AX11" s="45"/>
      <c r="AY11" s="46"/>
      <c r="AZ11" s="50"/>
      <c r="BA11" s="51"/>
      <c r="BB11" s="52"/>
      <c r="BC11" s="50"/>
      <c r="BD11" s="51"/>
      <c r="BE11" s="52"/>
      <c r="BF11" s="50"/>
      <c r="BG11" s="51"/>
      <c r="BH11" s="52"/>
      <c r="BI11" s="50"/>
      <c r="BJ11" s="51"/>
      <c r="BK11" s="52"/>
      <c r="BL11" s="50"/>
      <c r="BM11" s="51"/>
      <c r="BN11" s="52"/>
      <c r="BO11" s="50"/>
      <c r="BP11" s="51"/>
      <c r="BQ11" s="52"/>
      <c r="BR11" s="50"/>
      <c r="BS11" s="51"/>
      <c r="BT11" s="52"/>
      <c r="BU11" s="50"/>
      <c r="BV11" s="51"/>
      <c r="BW11" s="52"/>
      <c r="BX11" s="50"/>
      <c r="BY11" s="51"/>
      <c r="BZ11" s="52"/>
      <c r="CA11" s="50"/>
      <c r="CB11" s="51"/>
      <c r="CC11" s="52"/>
      <c r="CD11" s="50"/>
      <c r="CE11" s="51"/>
      <c r="CF11" s="52"/>
      <c r="CG11" s="50"/>
      <c r="CH11" s="51"/>
      <c r="CI11" s="52"/>
      <c r="CJ11" s="50"/>
      <c r="CK11" s="51"/>
      <c r="CL11" s="52"/>
      <c r="CM11" s="50"/>
      <c r="CN11" s="51"/>
      <c r="CO11" s="52"/>
      <c r="CP11" s="50"/>
      <c r="CQ11" s="51"/>
      <c r="CR11" s="52"/>
      <c r="CS11" s="50"/>
      <c r="CT11" s="51"/>
      <c r="CU11" s="52"/>
      <c r="CV11" s="50"/>
      <c r="CW11" s="51"/>
      <c r="CX11" s="52"/>
      <c r="CY11" s="50"/>
      <c r="CZ11" s="51"/>
      <c r="DA11" s="52"/>
      <c r="DB11" s="50"/>
      <c r="DC11" s="51"/>
      <c r="DD11" s="52"/>
      <c r="DE11" s="50"/>
      <c r="DF11" s="51"/>
      <c r="DG11" s="69"/>
      <c r="DH11" s="64">
        <f t="shared" si="0"/>
        <v>3</v>
      </c>
    </row>
    <row r="12" spans="2:112" x14ac:dyDescent="0.25">
      <c r="B12" s="3" t="s">
        <v>8</v>
      </c>
      <c r="C12" s="11">
        <v>1</v>
      </c>
      <c r="D12" s="16">
        <v>1</v>
      </c>
      <c r="E12" s="4">
        <v>1</v>
      </c>
      <c r="F12" s="17">
        <v>1</v>
      </c>
      <c r="G12" s="14"/>
      <c r="H12" s="2"/>
      <c r="I12" s="33"/>
      <c r="J12" s="39">
        <v>1</v>
      </c>
      <c r="K12" s="2">
        <v>1</v>
      </c>
      <c r="L12" s="33">
        <v>1</v>
      </c>
      <c r="M12" s="39"/>
      <c r="N12" s="2"/>
      <c r="O12" s="33"/>
      <c r="P12" s="39"/>
      <c r="Q12" s="2"/>
      <c r="R12" s="33"/>
      <c r="S12" s="39"/>
      <c r="T12" s="2"/>
      <c r="U12" s="33"/>
      <c r="V12" s="39"/>
      <c r="W12" s="2"/>
      <c r="X12" s="33"/>
      <c r="Y12" s="50"/>
      <c r="Z12" s="51"/>
      <c r="AA12" s="52"/>
      <c r="AB12" s="39"/>
      <c r="AC12" s="2"/>
      <c r="AD12" s="33"/>
      <c r="AE12" s="44"/>
      <c r="AF12" s="45"/>
      <c r="AG12" s="46"/>
      <c r="AH12" s="44"/>
      <c r="AI12" s="45"/>
      <c r="AJ12" s="46"/>
      <c r="AK12" s="44"/>
      <c r="AL12" s="45"/>
      <c r="AM12" s="46"/>
      <c r="AN12" s="44"/>
      <c r="AO12" s="45"/>
      <c r="AP12" s="46"/>
      <c r="AQ12" s="44"/>
      <c r="AR12" s="45"/>
      <c r="AS12" s="46"/>
      <c r="AT12" s="44"/>
      <c r="AU12" s="45"/>
      <c r="AV12" s="46"/>
      <c r="AW12" s="44"/>
      <c r="AX12" s="45"/>
      <c r="AY12" s="46"/>
      <c r="AZ12" s="50"/>
      <c r="BA12" s="51"/>
      <c r="BB12" s="52"/>
      <c r="BC12" s="50"/>
      <c r="BD12" s="51"/>
      <c r="BE12" s="52"/>
      <c r="BF12" s="50"/>
      <c r="BG12" s="51"/>
      <c r="BH12" s="52"/>
      <c r="BI12" s="50"/>
      <c r="BJ12" s="51"/>
      <c r="BK12" s="52"/>
      <c r="BL12" s="50"/>
      <c r="BM12" s="51"/>
      <c r="BN12" s="52"/>
      <c r="BO12" s="50"/>
      <c r="BP12" s="51"/>
      <c r="BQ12" s="52"/>
      <c r="BR12" s="50"/>
      <c r="BS12" s="51"/>
      <c r="BT12" s="52"/>
      <c r="BU12" s="50"/>
      <c r="BV12" s="51"/>
      <c r="BW12" s="52"/>
      <c r="BX12" s="50"/>
      <c r="BY12" s="51"/>
      <c r="BZ12" s="52"/>
      <c r="CA12" s="50"/>
      <c r="CB12" s="51"/>
      <c r="CC12" s="52"/>
      <c r="CD12" s="50"/>
      <c r="CE12" s="51"/>
      <c r="CF12" s="52"/>
      <c r="CG12" s="50"/>
      <c r="CH12" s="51"/>
      <c r="CI12" s="52"/>
      <c r="CJ12" s="50"/>
      <c r="CK12" s="51"/>
      <c r="CL12" s="52"/>
      <c r="CM12" s="50"/>
      <c r="CN12" s="51"/>
      <c r="CO12" s="52"/>
      <c r="CP12" s="50"/>
      <c r="CQ12" s="51"/>
      <c r="CR12" s="52"/>
      <c r="CS12" s="50"/>
      <c r="CT12" s="51"/>
      <c r="CU12" s="52"/>
      <c r="CV12" s="50"/>
      <c r="CW12" s="51"/>
      <c r="CX12" s="52"/>
      <c r="CY12" s="50"/>
      <c r="CZ12" s="51"/>
      <c r="DA12" s="52"/>
      <c r="DB12" s="50"/>
      <c r="DC12" s="51"/>
      <c r="DD12" s="52"/>
      <c r="DE12" s="50"/>
      <c r="DF12" s="51"/>
      <c r="DG12" s="69"/>
      <c r="DH12" s="64">
        <f t="shared" si="0"/>
        <v>3</v>
      </c>
    </row>
    <row r="13" spans="2:112" x14ac:dyDescent="0.25">
      <c r="B13" s="3" t="s">
        <v>9</v>
      </c>
      <c r="C13" s="11">
        <v>1</v>
      </c>
      <c r="D13" s="16">
        <v>1</v>
      </c>
      <c r="E13" s="4">
        <v>1</v>
      </c>
      <c r="F13" s="17">
        <v>1</v>
      </c>
      <c r="G13" s="14"/>
      <c r="H13" s="2"/>
      <c r="I13" s="33"/>
      <c r="J13" s="39"/>
      <c r="K13" s="2"/>
      <c r="L13" s="33"/>
      <c r="M13" s="39">
        <v>1</v>
      </c>
      <c r="N13" s="2">
        <v>1</v>
      </c>
      <c r="O13" s="33">
        <v>1</v>
      </c>
      <c r="P13" s="39"/>
      <c r="Q13" s="2"/>
      <c r="R13" s="33"/>
      <c r="S13" s="39"/>
      <c r="T13" s="2"/>
      <c r="U13" s="33"/>
      <c r="V13" s="39"/>
      <c r="W13" s="2"/>
      <c r="X13" s="33"/>
      <c r="Y13" s="50"/>
      <c r="Z13" s="51"/>
      <c r="AA13" s="52"/>
      <c r="AB13" s="39"/>
      <c r="AC13" s="2"/>
      <c r="AD13" s="33"/>
      <c r="AE13" s="44"/>
      <c r="AF13" s="45"/>
      <c r="AG13" s="46"/>
      <c r="AH13" s="44"/>
      <c r="AI13" s="45"/>
      <c r="AJ13" s="46"/>
      <c r="AK13" s="44"/>
      <c r="AL13" s="45"/>
      <c r="AM13" s="46"/>
      <c r="AN13" s="44"/>
      <c r="AO13" s="45"/>
      <c r="AP13" s="46"/>
      <c r="AQ13" s="44"/>
      <c r="AR13" s="45"/>
      <c r="AS13" s="46"/>
      <c r="AT13" s="44"/>
      <c r="AU13" s="45"/>
      <c r="AV13" s="46"/>
      <c r="AW13" s="44"/>
      <c r="AX13" s="45"/>
      <c r="AY13" s="46"/>
      <c r="AZ13" s="50"/>
      <c r="BA13" s="51"/>
      <c r="BB13" s="52"/>
      <c r="BC13" s="50"/>
      <c r="BD13" s="51"/>
      <c r="BE13" s="52"/>
      <c r="BF13" s="50"/>
      <c r="BG13" s="51"/>
      <c r="BH13" s="52"/>
      <c r="BI13" s="50"/>
      <c r="BJ13" s="51"/>
      <c r="BK13" s="52"/>
      <c r="BL13" s="50"/>
      <c r="BM13" s="51"/>
      <c r="BN13" s="52"/>
      <c r="BO13" s="50"/>
      <c r="BP13" s="51"/>
      <c r="BQ13" s="52"/>
      <c r="BR13" s="50"/>
      <c r="BS13" s="51"/>
      <c r="BT13" s="52"/>
      <c r="BU13" s="50"/>
      <c r="BV13" s="51"/>
      <c r="BW13" s="52"/>
      <c r="BX13" s="50"/>
      <c r="BY13" s="51"/>
      <c r="BZ13" s="52"/>
      <c r="CA13" s="50"/>
      <c r="CB13" s="51"/>
      <c r="CC13" s="52"/>
      <c r="CD13" s="50"/>
      <c r="CE13" s="51"/>
      <c r="CF13" s="52"/>
      <c r="CG13" s="50"/>
      <c r="CH13" s="51"/>
      <c r="CI13" s="52"/>
      <c r="CJ13" s="50"/>
      <c r="CK13" s="51"/>
      <c r="CL13" s="52"/>
      <c r="CM13" s="50"/>
      <c r="CN13" s="51"/>
      <c r="CO13" s="52"/>
      <c r="CP13" s="50"/>
      <c r="CQ13" s="51"/>
      <c r="CR13" s="52"/>
      <c r="CS13" s="50"/>
      <c r="CT13" s="51"/>
      <c r="CU13" s="52"/>
      <c r="CV13" s="50"/>
      <c r="CW13" s="51"/>
      <c r="CX13" s="52"/>
      <c r="CY13" s="50"/>
      <c r="CZ13" s="51"/>
      <c r="DA13" s="52"/>
      <c r="DB13" s="50"/>
      <c r="DC13" s="51"/>
      <c r="DD13" s="52"/>
      <c r="DE13" s="50"/>
      <c r="DF13" s="51"/>
      <c r="DG13" s="69"/>
      <c r="DH13" s="64">
        <f t="shared" si="0"/>
        <v>3</v>
      </c>
    </row>
    <row r="14" spans="2:112" x14ac:dyDescent="0.25">
      <c r="B14" s="3" t="s">
        <v>10</v>
      </c>
      <c r="C14" s="11">
        <v>1</v>
      </c>
      <c r="D14" s="16">
        <v>1</v>
      </c>
      <c r="E14" s="4">
        <v>1</v>
      </c>
      <c r="F14" s="17">
        <v>1</v>
      </c>
      <c r="G14" s="14"/>
      <c r="H14" s="2"/>
      <c r="I14" s="33"/>
      <c r="J14" s="39"/>
      <c r="K14" s="2"/>
      <c r="L14" s="33"/>
      <c r="M14" s="39">
        <v>1</v>
      </c>
      <c r="N14" s="2">
        <v>1</v>
      </c>
      <c r="O14" s="33">
        <v>1</v>
      </c>
      <c r="P14" s="39"/>
      <c r="Q14" s="2"/>
      <c r="R14" s="33"/>
      <c r="S14" s="39"/>
      <c r="T14" s="2"/>
      <c r="U14" s="33"/>
      <c r="V14" s="39"/>
      <c r="W14" s="2"/>
      <c r="X14" s="33"/>
      <c r="Y14" s="50"/>
      <c r="Z14" s="51"/>
      <c r="AA14" s="52"/>
      <c r="AB14" s="39"/>
      <c r="AC14" s="2"/>
      <c r="AD14" s="33"/>
      <c r="AE14" s="44"/>
      <c r="AF14" s="45"/>
      <c r="AG14" s="46"/>
      <c r="AH14" s="44"/>
      <c r="AI14" s="45"/>
      <c r="AJ14" s="46"/>
      <c r="AK14" s="44"/>
      <c r="AL14" s="45"/>
      <c r="AM14" s="46"/>
      <c r="AN14" s="44"/>
      <c r="AO14" s="45"/>
      <c r="AP14" s="46"/>
      <c r="AQ14" s="44"/>
      <c r="AR14" s="45"/>
      <c r="AS14" s="46"/>
      <c r="AT14" s="44"/>
      <c r="AU14" s="45"/>
      <c r="AV14" s="46"/>
      <c r="AW14" s="44"/>
      <c r="AX14" s="45"/>
      <c r="AY14" s="46"/>
      <c r="AZ14" s="50"/>
      <c r="BA14" s="51"/>
      <c r="BB14" s="52"/>
      <c r="BC14" s="50"/>
      <c r="BD14" s="51"/>
      <c r="BE14" s="52"/>
      <c r="BF14" s="50"/>
      <c r="BG14" s="51"/>
      <c r="BH14" s="52"/>
      <c r="BI14" s="50"/>
      <c r="BJ14" s="51"/>
      <c r="BK14" s="52"/>
      <c r="BL14" s="50"/>
      <c r="BM14" s="51"/>
      <c r="BN14" s="52"/>
      <c r="BO14" s="50"/>
      <c r="BP14" s="51"/>
      <c r="BQ14" s="52"/>
      <c r="BR14" s="50"/>
      <c r="BS14" s="51"/>
      <c r="BT14" s="52"/>
      <c r="BU14" s="50"/>
      <c r="BV14" s="51"/>
      <c r="BW14" s="52"/>
      <c r="BX14" s="50"/>
      <c r="BY14" s="51"/>
      <c r="BZ14" s="52"/>
      <c r="CA14" s="50"/>
      <c r="CB14" s="51"/>
      <c r="CC14" s="52"/>
      <c r="CD14" s="50"/>
      <c r="CE14" s="51"/>
      <c r="CF14" s="52"/>
      <c r="CG14" s="50"/>
      <c r="CH14" s="51"/>
      <c r="CI14" s="52"/>
      <c r="CJ14" s="50"/>
      <c r="CK14" s="51"/>
      <c r="CL14" s="52"/>
      <c r="CM14" s="50"/>
      <c r="CN14" s="51"/>
      <c r="CO14" s="52"/>
      <c r="CP14" s="50"/>
      <c r="CQ14" s="51"/>
      <c r="CR14" s="52"/>
      <c r="CS14" s="50"/>
      <c r="CT14" s="51"/>
      <c r="CU14" s="52"/>
      <c r="CV14" s="50"/>
      <c r="CW14" s="51"/>
      <c r="CX14" s="52"/>
      <c r="CY14" s="50"/>
      <c r="CZ14" s="51"/>
      <c r="DA14" s="52"/>
      <c r="DB14" s="50"/>
      <c r="DC14" s="51"/>
      <c r="DD14" s="52"/>
      <c r="DE14" s="50"/>
      <c r="DF14" s="51"/>
      <c r="DG14" s="69"/>
      <c r="DH14" s="64">
        <f t="shared" si="0"/>
        <v>3</v>
      </c>
    </row>
    <row r="15" spans="2:112" x14ac:dyDescent="0.25">
      <c r="B15" s="3" t="s">
        <v>11</v>
      </c>
      <c r="C15" s="11">
        <v>1</v>
      </c>
      <c r="D15" s="16">
        <v>1</v>
      </c>
      <c r="E15" s="4">
        <v>1</v>
      </c>
      <c r="F15" s="17">
        <v>1</v>
      </c>
      <c r="G15" s="14"/>
      <c r="H15" s="2"/>
      <c r="I15" s="33"/>
      <c r="J15" s="39"/>
      <c r="K15" s="2"/>
      <c r="L15" s="33"/>
      <c r="M15" s="39"/>
      <c r="N15" s="2"/>
      <c r="O15" s="33"/>
      <c r="P15" s="39">
        <v>1</v>
      </c>
      <c r="Q15" s="2">
        <v>1</v>
      </c>
      <c r="R15" s="33">
        <v>1</v>
      </c>
      <c r="S15" s="39"/>
      <c r="T15" s="2"/>
      <c r="U15" s="33"/>
      <c r="V15" s="39"/>
      <c r="W15" s="2"/>
      <c r="X15" s="33"/>
      <c r="Y15" s="50"/>
      <c r="Z15" s="51"/>
      <c r="AA15" s="52"/>
      <c r="AB15" s="39"/>
      <c r="AC15" s="2"/>
      <c r="AD15" s="33"/>
      <c r="AE15" s="44"/>
      <c r="AF15" s="45"/>
      <c r="AG15" s="46"/>
      <c r="AH15" s="44"/>
      <c r="AI15" s="45"/>
      <c r="AJ15" s="46"/>
      <c r="AK15" s="44"/>
      <c r="AL15" s="45"/>
      <c r="AM15" s="46"/>
      <c r="AN15" s="44"/>
      <c r="AO15" s="45"/>
      <c r="AP15" s="46"/>
      <c r="AQ15" s="44"/>
      <c r="AR15" s="45"/>
      <c r="AS15" s="46"/>
      <c r="AT15" s="44"/>
      <c r="AU15" s="45"/>
      <c r="AV15" s="46"/>
      <c r="AW15" s="44"/>
      <c r="AX15" s="45"/>
      <c r="AY15" s="46"/>
      <c r="AZ15" s="50"/>
      <c r="BA15" s="51"/>
      <c r="BB15" s="52"/>
      <c r="BC15" s="50"/>
      <c r="BD15" s="51"/>
      <c r="BE15" s="52"/>
      <c r="BF15" s="50"/>
      <c r="BG15" s="51"/>
      <c r="BH15" s="52"/>
      <c r="BI15" s="50"/>
      <c r="BJ15" s="51"/>
      <c r="BK15" s="52"/>
      <c r="BL15" s="50"/>
      <c r="BM15" s="51"/>
      <c r="BN15" s="52"/>
      <c r="BO15" s="50"/>
      <c r="BP15" s="51"/>
      <c r="BQ15" s="52"/>
      <c r="BR15" s="50"/>
      <c r="BS15" s="51"/>
      <c r="BT15" s="52"/>
      <c r="BU15" s="50"/>
      <c r="BV15" s="51"/>
      <c r="BW15" s="52"/>
      <c r="BX15" s="50"/>
      <c r="BY15" s="51"/>
      <c r="BZ15" s="52"/>
      <c r="CA15" s="50"/>
      <c r="CB15" s="51"/>
      <c r="CC15" s="52"/>
      <c r="CD15" s="50"/>
      <c r="CE15" s="51"/>
      <c r="CF15" s="52"/>
      <c r="CG15" s="50"/>
      <c r="CH15" s="51"/>
      <c r="CI15" s="52"/>
      <c r="CJ15" s="50"/>
      <c r="CK15" s="51"/>
      <c r="CL15" s="52"/>
      <c r="CM15" s="50"/>
      <c r="CN15" s="51"/>
      <c r="CO15" s="52"/>
      <c r="CP15" s="50"/>
      <c r="CQ15" s="51"/>
      <c r="CR15" s="52"/>
      <c r="CS15" s="50"/>
      <c r="CT15" s="51"/>
      <c r="CU15" s="52"/>
      <c r="CV15" s="50"/>
      <c r="CW15" s="51"/>
      <c r="CX15" s="52"/>
      <c r="CY15" s="50"/>
      <c r="CZ15" s="51"/>
      <c r="DA15" s="52"/>
      <c r="DB15" s="50"/>
      <c r="DC15" s="51"/>
      <c r="DD15" s="52"/>
      <c r="DE15" s="50"/>
      <c r="DF15" s="51"/>
      <c r="DG15" s="69"/>
      <c r="DH15" s="64">
        <f t="shared" si="0"/>
        <v>3</v>
      </c>
    </row>
    <row r="16" spans="2:112" x14ac:dyDescent="0.25">
      <c r="B16" s="3" t="s">
        <v>12</v>
      </c>
      <c r="C16" s="11">
        <v>1</v>
      </c>
      <c r="D16" s="16">
        <v>1</v>
      </c>
      <c r="E16" s="4">
        <v>1</v>
      </c>
      <c r="F16" s="17">
        <v>1</v>
      </c>
      <c r="G16" s="14"/>
      <c r="H16" s="2"/>
      <c r="I16" s="33"/>
      <c r="J16" s="39"/>
      <c r="K16" s="2"/>
      <c r="L16" s="33"/>
      <c r="M16" s="39"/>
      <c r="N16" s="2"/>
      <c r="O16" s="33"/>
      <c r="P16" s="39"/>
      <c r="Q16" s="2"/>
      <c r="R16" s="33"/>
      <c r="S16" s="39"/>
      <c r="T16" s="2"/>
      <c r="U16" s="33"/>
      <c r="V16" s="39"/>
      <c r="W16" s="2"/>
      <c r="X16" s="33"/>
      <c r="Y16" s="50"/>
      <c r="Z16" s="51"/>
      <c r="AA16" s="52"/>
      <c r="AB16" s="39"/>
      <c r="AC16" s="2"/>
      <c r="AD16" s="33"/>
      <c r="AE16" s="44"/>
      <c r="AF16" s="45"/>
      <c r="AG16" s="46"/>
      <c r="AH16" s="44"/>
      <c r="AI16" s="45"/>
      <c r="AJ16" s="46"/>
      <c r="AK16" s="44"/>
      <c r="AL16" s="45"/>
      <c r="AM16" s="46"/>
      <c r="AN16" s="44"/>
      <c r="AO16" s="45"/>
      <c r="AP16" s="46"/>
      <c r="AQ16" s="44"/>
      <c r="AR16" s="45"/>
      <c r="AS16" s="46"/>
      <c r="AT16" s="44"/>
      <c r="AU16" s="45"/>
      <c r="AV16" s="46"/>
      <c r="AW16" s="44"/>
      <c r="AX16" s="45"/>
      <c r="AY16" s="46"/>
      <c r="AZ16" s="50">
        <v>1</v>
      </c>
      <c r="BA16" s="51">
        <v>1</v>
      </c>
      <c r="BB16" s="52">
        <v>1</v>
      </c>
      <c r="BC16" s="50"/>
      <c r="BD16" s="51"/>
      <c r="BE16" s="52"/>
      <c r="BF16" s="50"/>
      <c r="BG16" s="51"/>
      <c r="BH16" s="52"/>
      <c r="BI16" s="50"/>
      <c r="BJ16" s="51"/>
      <c r="BK16" s="52"/>
      <c r="BL16" s="50"/>
      <c r="BM16" s="51"/>
      <c r="BN16" s="52"/>
      <c r="BO16" s="50"/>
      <c r="BP16" s="51"/>
      <c r="BQ16" s="52"/>
      <c r="BR16" s="50"/>
      <c r="BS16" s="51"/>
      <c r="BT16" s="52"/>
      <c r="BU16" s="50"/>
      <c r="BV16" s="51"/>
      <c r="BW16" s="52"/>
      <c r="BX16" s="50"/>
      <c r="BY16" s="51"/>
      <c r="BZ16" s="52"/>
      <c r="CA16" s="50"/>
      <c r="CB16" s="51"/>
      <c r="CC16" s="52"/>
      <c r="CD16" s="50"/>
      <c r="CE16" s="51"/>
      <c r="CF16" s="52"/>
      <c r="CG16" s="50"/>
      <c r="CH16" s="51"/>
      <c r="CI16" s="52"/>
      <c r="CJ16" s="50"/>
      <c r="CK16" s="51"/>
      <c r="CL16" s="52"/>
      <c r="CM16" s="50"/>
      <c r="CN16" s="51"/>
      <c r="CO16" s="52"/>
      <c r="CP16" s="50"/>
      <c r="CQ16" s="51"/>
      <c r="CR16" s="52"/>
      <c r="CS16" s="50"/>
      <c r="CT16" s="51"/>
      <c r="CU16" s="52"/>
      <c r="CV16" s="50"/>
      <c r="CW16" s="51"/>
      <c r="CX16" s="52"/>
      <c r="CY16" s="50"/>
      <c r="CZ16" s="51"/>
      <c r="DA16" s="52"/>
      <c r="DB16" s="50"/>
      <c r="DC16" s="51"/>
      <c r="DD16" s="52"/>
      <c r="DE16" s="50"/>
      <c r="DF16" s="51"/>
      <c r="DG16" s="69"/>
      <c r="DH16" s="64">
        <f t="shared" si="0"/>
        <v>3</v>
      </c>
    </row>
    <row r="17" spans="2:112" x14ac:dyDescent="0.25">
      <c r="B17" s="3" t="s">
        <v>13</v>
      </c>
      <c r="C17" s="11">
        <v>1</v>
      </c>
      <c r="D17" s="16">
        <v>1</v>
      </c>
      <c r="E17" s="4">
        <v>1</v>
      </c>
      <c r="F17" s="17">
        <v>1</v>
      </c>
      <c r="G17" s="14"/>
      <c r="H17" s="2"/>
      <c r="I17" s="33"/>
      <c r="J17" s="39"/>
      <c r="K17" s="2"/>
      <c r="L17" s="33"/>
      <c r="M17" s="39"/>
      <c r="N17" s="2"/>
      <c r="O17" s="33"/>
      <c r="P17" s="39"/>
      <c r="Q17" s="2"/>
      <c r="R17" s="33"/>
      <c r="S17" s="39"/>
      <c r="T17" s="2"/>
      <c r="U17" s="33"/>
      <c r="V17" s="39"/>
      <c r="W17" s="2"/>
      <c r="X17" s="33"/>
      <c r="Y17" s="50"/>
      <c r="Z17" s="51"/>
      <c r="AA17" s="52"/>
      <c r="AB17" s="39"/>
      <c r="AC17" s="2"/>
      <c r="AD17" s="33"/>
      <c r="AE17" s="44"/>
      <c r="AF17" s="45"/>
      <c r="AG17" s="46"/>
      <c r="AH17" s="44"/>
      <c r="AI17" s="45"/>
      <c r="AJ17" s="46"/>
      <c r="AK17" s="44"/>
      <c r="AL17" s="45"/>
      <c r="AM17" s="46"/>
      <c r="AN17" s="44"/>
      <c r="AO17" s="45"/>
      <c r="AP17" s="46"/>
      <c r="AQ17" s="44"/>
      <c r="AR17" s="45"/>
      <c r="AS17" s="46"/>
      <c r="AT17" s="44"/>
      <c r="AU17" s="45"/>
      <c r="AV17" s="46"/>
      <c r="AW17" s="44"/>
      <c r="AX17" s="45"/>
      <c r="AY17" s="46"/>
      <c r="AZ17" s="50">
        <v>1</v>
      </c>
      <c r="BA17" s="51">
        <v>1</v>
      </c>
      <c r="BB17" s="52">
        <v>1</v>
      </c>
      <c r="BC17" s="50"/>
      <c r="BD17" s="51"/>
      <c r="BE17" s="52"/>
      <c r="BF17" s="50"/>
      <c r="BG17" s="51"/>
      <c r="BH17" s="52"/>
      <c r="BI17" s="50"/>
      <c r="BJ17" s="51"/>
      <c r="BK17" s="52"/>
      <c r="BL17" s="50"/>
      <c r="BM17" s="51"/>
      <c r="BN17" s="52"/>
      <c r="BO17" s="50"/>
      <c r="BP17" s="51"/>
      <c r="BQ17" s="52"/>
      <c r="BR17" s="50"/>
      <c r="BS17" s="51"/>
      <c r="BT17" s="52"/>
      <c r="BU17" s="50"/>
      <c r="BV17" s="51"/>
      <c r="BW17" s="52"/>
      <c r="BX17" s="50"/>
      <c r="BY17" s="51"/>
      <c r="BZ17" s="52"/>
      <c r="CA17" s="50"/>
      <c r="CB17" s="51"/>
      <c r="CC17" s="52"/>
      <c r="CD17" s="50"/>
      <c r="CE17" s="51"/>
      <c r="CF17" s="52"/>
      <c r="CG17" s="50"/>
      <c r="CH17" s="51"/>
      <c r="CI17" s="52"/>
      <c r="CJ17" s="50"/>
      <c r="CK17" s="51"/>
      <c r="CL17" s="52"/>
      <c r="CM17" s="50"/>
      <c r="CN17" s="51"/>
      <c r="CO17" s="52"/>
      <c r="CP17" s="50"/>
      <c r="CQ17" s="51"/>
      <c r="CR17" s="52"/>
      <c r="CS17" s="50"/>
      <c r="CT17" s="51"/>
      <c r="CU17" s="52"/>
      <c r="CV17" s="50"/>
      <c r="CW17" s="51"/>
      <c r="CX17" s="52"/>
      <c r="CY17" s="50"/>
      <c r="CZ17" s="51"/>
      <c r="DA17" s="52"/>
      <c r="DB17" s="50"/>
      <c r="DC17" s="51"/>
      <c r="DD17" s="52"/>
      <c r="DE17" s="50"/>
      <c r="DF17" s="51"/>
      <c r="DG17" s="69"/>
      <c r="DH17" s="64">
        <f t="shared" si="0"/>
        <v>3</v>
      </c>
    </row>
    <row r="18" spans="2:112" x14ac:dyDescent="0.25">
      <c r="B18" s="3" t="s">
        <v>14</v>
      </c>
      <c r="C18" s="11">
        <v>1</v>
      </c>
      <c r="D18" s="16">
        <v>1</v>
      </c>
      <c r="E18" s="4">
        <v>1</v>
      </c>
      <c r="F18" s="17">
        <v>1</v>
      </c>
      <c r="G18" s="14"/>
      <c r="H18" s="2"/>
      <c r="I18" s="33"/>
      <c r="J18" s="39"/>
      <c r="K18" s="2"/>
      <c r="L18" s="33"/>
      <c r="M18" s="39"/>
      <c r="N18" s="2"/>
      <c r="O18" s="33"/>
      <c r="P18" s="39"/>
      <c r="Q18" s="2"/>
      <c r="R18" s="33"/>
      <c r="S18" s="39"/>
      <c r="T18" s="2"/>
      <c r="U18" s="33"/>
      <c r="V18" s="39"/>
      <c r="W18" s="2"/>
      <c r="X18" s="33"/>
      <c r="Y18" s="50"/>
      <c r="Z18" s="51"/>
      <c r="AA18" s="52"/>
      <c r="AB18" s="39"/>
      <c r="AC18" s="2"/>
      <c r="AD18" s="33"/>
      <c r="AE18" s="44"/>
      <c r="AF18" s="45"/>
      <c r="AG18" s="46"/>
      <c r="AH18" s="44"/>
      <c r="AI18" s="45"/>
      <c r="AJ18" s="46"/>
      <c r="AK18" s="44"/>
      <c r="AL18" s="45"/>
      <c r="AM18" s="46"/>
      <c r="AN18" s="44"/>
      <c r="AO18" s="45"/>
      <c r="AP18" s="46"/>
      <c r="AQ18" s="44"/>
      <c r="AR18" s="45"/>
      <c r="AS18" s="46"/>
      <c r="AT18" s="44"/>
      <c r="AU18" s="45"/>
      <c r="AV18" s="46"/>
      <c r="AW18" s="44"/>
      <c r="AX18" s="45"/>
      <c r="AY18" s="46"/>
      <c r="AZ18" s="50"/>
      <c r="BA18" s="51"/>
      <c r="BB18" s="52"/>
      <c r="BC18" s="50">
        <v>1</v>
      </c>
      <c r="BD18" s="51">
        <v>1</v>
      </c>
      <c r="BE18" s="52">
        <v>1</v>
      </c>
      <c r="BF18" s="50"/>
      <c r="BG18" s="51"/>
      <c r="BH18" s="52"/>
      <c r="BI18" s="50"/>
      <c r="BJ18" s="51"/>
      <c r="BK18" s="52"/>
      <c r="BL18" s="50"/>
      <c r="BM18" s="51"/>
      <c r="BN18" s="52"/>
      <c r="BO18" s="50"/>
      <c r="BP18" s="51"/>
      <c r="BQ18" s="52"/>
      <c r="BR18" s="50"/>
      <c r="BS18" s="51"/>
      <c r="BT18" s="52"/>
      <c r="BU18" s="50"/>
      <c r="BV18" s="51"/>
      <c r="BW18" s="52"/>
      <c r="BX18" s="50"/>
      <c r="BY18" s="51"/>
      <c r="BZ18" s="52"/>
      <c r="CA18" s="50"/>
      <c r="CB18" s="51"/>
      <c r="CC18" s="52"/>
      <c r="CD18" s="50"/>
      <c r="CE18" s="51"/>
      <c r="CF18" s="52"/>
      <c r="CG18" s="50"/>
      <c r="CH18" s="51"/>
      <c r="CI18" s="52"/>
      <c r="CJ18" s="50"/>
      <c r="CK18" s="51"/>
      <c r="CL18" s="52"/>
      <c r="CM18" s="50"/>
      <c r="CN18" s="51"/>
      <c r="CO18" s="52"/>
      <c r="CP18" s="50"/>
      <c r="CQ18" s="51"/>
      <c r="CR18" s="52"/>
      <c r="CS18" s="50"/>
      <c r="CT18" s="51"/>
      <c r="CU18" s="52"/>
      <c r="CV18" s="50"/>
      <c r="CW18" s="51"/>
      <c r="CX18" s="52"/>
      <c r="CY18" s="50"/>
      <c r="CZ18" s="51"/>
      <c r="DA18" s="52"/>
      <c r="DB18" s="50"/>
      <c r="DC18" s="51"/>
      <c r="DD18" s="52"/>
      <c r="DE18" s="50"/>
      <c r="DF18" s="51"/>
      <c r="DG18" s="69"/>
      <c r="DH18" s="64">
        <f t="shared" si="0"/>
        <v>3</v>
      </c>
    </row>
    <row r="19" spans="2:112" x14ac:dyDescent="0.25">
      <c r="B19" s="3" t="s">
        <v>15</v>
      </c>
      <c r="C19" s="11">
        <v>1</v>
      </c>
      <c r="D19" s="16">
        <v>1</v>
      </c>
      <c r="E19" s="4">
        <v>1</v>
      </c>
      <c r="F19" s="17">
        <v>1</v>
      </c>
      <c r="G19" s="14"/>
      <c r="H19" s="2"/>
      <c r="I19" s="33"/>
      <c r="J19" s="39"/>
      <c r="K19" s="2"/>
      <c r="L19" s="33"/>
      <c r="M19" s="39"/>
      <c r="N19" s="2"/>
      <c r="O19" s="33"/>
      <c r="P19" s="39"/>
      <c r="Q19" s="2"/>
      <c r="R19" s="33"/>
      <c r="S19" s="39"/>
      <c r="T19" s="2"/>
      <c r="U19" s="33"/>
      <c r="V19" s="39"/>
      <c r="W19" s="2"/>
      <c r="X19" s="33"/>
      <c r="Y19" s="50"/>
      <c r="Z19" s="51"/>
      <c r="AA19" s="52"/>
      <c r="AB19" s="39"/>
      <c r="AC19" s="2"/>
      <c r="AD19" s="33"/>
      <c r="AE19" s="44"/>
      <c r="AF19" s="45"/>
      <c r="AG19" s="46"/>
      <c r="AH19" s="44"/>
      <c r="AI19" s="45"/>
      <c r="AJ19" s="46"/>
      <c r="AK19" s="44"/>
      <c r="AL19" s="45"/>
      <c r="AM19" s="46"/>
      <c r="AN19" s="44"/>
      <c r="AO19" s="45"/>
      <c r="AP19" s="46"/>
      <c r="AQ19" s="44"/>
      <c r="AR19" s="45"/>
      <c r="AS19" s="46"/>
      <c r="AT19" s="44"/>
      <c r="AU19" s="45"/>
      <c r="AV19" s="46"/>
      <c r="AW19" s="44"/>
      <c r="AX19" s="45"/>
      <c r="AY19" s="46"/>
      <c r="AZ19" s="50"/>
      <c r="BA19" s="51"/>
      <c r="BB19" s="52"/>
      <c r="BC19" s="50">
        <v>1</v>
      </c>
      <c r="BD19" s="51">
        <v>1</v>
      </c>
      <c r="BE19" s="52">
        <v>1</v>
      </c>
      <c r="BF19" s="50"/>
      <c r="BG19" s="51"/>
      <c r="BH19" s="52"/>
      <c r="BI19" s="50"/>
      <c r="BJ19" s="51"/>
      <c r="BK19" s="52"/>
      <c r="BL19" s="50"/>
      <c r="BM19" s="51"/>
      <c r="BN19" s="52"/>
      <c r="BO19" s="50"/>
      <c r="BP19" s="51"/>
      <c r="BQ19" s="52"/>
      <c r="BR19" s="50"/>
      <c r="BS19" s="51"/>
      <c r="BT19" s="52"/>
      <c r="BU19" s="50"/>
      <c r="BV19" s="51"/>
      <c r="BW19" s="52"/>
      <c r="BX19" s="50"/>
      <c r="BY19" s="51"/>
      <c r="BZ19" s="52"/>
      <c r="CA19" s="50"/>
      <c r="CB19" s="51"/>
      <c r="CC19" s="52"/>
      <c r="CD19" s="50"/>
      <c r="CE19" s="51"/>
      <c r="CF19" s="52"/>
      <c r="CG19" s="50"/>
      <c r="CH19" s="51"/>
      <c r="CI19" s="52"/>
      <c r="CJ19" s="50"/>
      <c r="CK19" s="51"/>
      <c r="CL19" s="52"/>
      <c r="CM19" s="50"/>
      <c r="CN19" s="51"/>
      <c r="CO19" s="52"/>
      <c r="CP19" s="50"/>
      <c r="CQ19" s="51"/>
      <c r="CR19" s="52"/>
      <c r="CS19" s="50"/>
      <c r="CT19" s="51"/>
      <c r="CU19" s="52"/>
      <c r="CV19" s="50"/>
      <c r="CW19" s="51"/>
      <c r="CX19" s="52"/>
      <c r="CY19" s="50"/>
      <c r="CZ19" s="51"/>
      <c r="DA19" s="52"/>
      <c r="DB19" s="50"/>
      <c r="DC19" s="51"/>
      <c r="DD19" s="52"/>
      <c r="DE19" s="50"/>
      <c r="DF19" s="51"/>
      <c r="DG19" s="69"/>
      <c r="DH19" s="64">
        <f t="shared" si="0"/>
        <v>3</v>
      </c>
    </row>
    <row r="20" spans="2:112" x14ac:dyDescent="0.25">
      <c r="B20" s="3" t="s">
        <v>16</v>
      </c>
      <c r="C20" s="11">
        <v>1</v>
      </c>
      <c r="D20" s="16">
        <v>1</v>
      </c>
      <c r="E20" s="4">
        <v>1</v>
      </c>
      <c r="F20" s="17">
        <v>1</v>
      </c>
      <c r="G20" s="14"/>
      <c r="H20" s="2"/>
      <c r="I20" s="33"/>
      <c r="J20" s="39"/>
      <c r="K20" s="2"/>
      <c r="L20" s="33"/>
      <c r="M20" s="39"/>
      <c r="N20" s="2"/>
      <c r="O20" s="33"/>
      <c r="P20" s="39"/>
      <c r="Q20" s="2"/>
      <c r="R20" s="33"/>
      <c r="S20" s="39"/>
      <c r="T20" s="2"/>
      <c r="U20" s="33"/>
      <c r="V20" s="39"/>
      <c r="W20" s="2"/>
      <c r="X20" s="33"/>
      <c r="Y20" s="50"/>
      <c r="Z20" s="51"/>
      <c r="AA20" s="52"/>
      <c r="AB20" s="39"/>
      <c r="AC20" s="2"/>
      <c r="AD20" s="33"/>
      <c r="AE20" s="44"/>
      <c r="AF20" s="45"/>
      <c r="AG20" s="46"/>
      <c r="AH20" s="44"/>
      <c r="AI20" s="45"/>
      <c r="AJ20" s="46"/>
      <c r="AK20" s="44"/>
      <c r="AL20" s="45"/>
      <c r="AM20" s="46"/>
      <c r="AN20" s="44"/>
      <c r="AO20" s="45"/>
      <c r="AP20" s="46"/>
      <c r="AQ20" s="44"/>
      <c r="AR20" s="45"/>
      <c r="AS20" s="46"/>
      <c r="AT20" s="44"/>
      <c r="AU20" s="45"/>
      <c r="AV20" s="46"/>
      <c r="AW20" s="44"/>
      <c r="AX20" s="45"/>
      <c r="AY20" s="46"/>
      <c r="AZ20" s="50"/>
      <c r="BA20" s="51"/>
      <c r="BB20" s="52"/>
      <c r="BC20" s="50"/>
      <c r="BD20" s="51"/>
      <c r="BE20" s="52"/>
      <c r="BF20" s="50">
        <v>1</v>
      </c>
      <c r="BG20" s="51">
        <v>1</v>
      </c>
      <c r="BH20" s="52">
        <v>1</v>
      </c>
      <c r="BI20" s="50"/>
      <c r="BJ20" s="51"/>
      <c r="BK20" s="52"/>
      <c r="BL20" s="50"/>
      <c r="BM20" s="51"/>
      <c r="BN20" s="52"/>
      <c r="BO20" s="50"/>
      <c r="BP20" s="51"/>
      <c r="BQ20" s="52"/>
      <c r="BR20" s="50"/>
      <c r="BS20" s="51"/>
      <c r="BT20" s="52"/>
      <c r="BU20" s="50"/>
      <c r="BV20" s="51"/>
      <c r="BW20" s="52"/>
      <c r="BX20" s="50"/>
      <c r="BY20" s="51"/>
      <c r="BZ20" s="52"/>
      <c r="CA20" s="50"/>
      <c r="CB20" s="51"/>
      <c r="CC20" s="52"/>
      <c r="CD20" s="50"/>
      <c r="CE20" s="51"/>
      <c r="CF20" s="52"/>
      <c r="CG20" s="50"/>
      <c r="CH20" s="51"/>
      <c r="CI20" s="52"/>
      <c r="CJ20" s="50"/>
      <c r="CK20" s="51"/>
      <c r="CL20" s="52"/>
      <c r="CM20" s="50"/>
      <c r="CN20" s="51"/>
      <c r="CO20" s="52"/>
      <c r="CP20" s="50"/>
      <c r="CQ20" s="51"/>
      <c r="CR20" s="52"/>
      <c r="CS20" s="50"/>
      <c r="CT20" s="51"/>
      <c r="CU20" s="52"/>
      <c r="CV20" s="50"/>
      <c r="CW20" s="51"/>
      <c r="CX20" s="52"/>
      <c r="CY20" s="50"/>
      <c r="CZ20" s="51"/>
      <c r="DA20" s="52"/>
      <c r="DB20" s="50"/>
      <c r="DC20" s="51"/>
      <c r="DD20" s="52"/>
      <c r="DE20" s="50"/>
      <c r="DF20" s="51"/>
      <c r="DG20" s="69"/>
      <c r="DH20" s="64">
        <f t="shared" si="0"/>
        <v>3</v>
      </c>
    </row>
    <row r="21" spans="2:112" x14ac:dyDescent="0.25">
      <c r="B21" s="3" t="s">
        <v>17</v>
      </c>
      <c r="C21" s="11">
        <v>1</v>
      </c>
      <c r="D21" s="16">
        <v>1</v>
      </c>
      <c r="E21" s="4">
        <v>1</v>
      </c>
      <c r="F21" s="17">
        <v>1</v>
      </c>
      <c r="G21" s="14"/>
      <c r="H21" s="2"/>
      <c r="I21" s="33"/>
      <c r="J21" s="39"/>
      <c r="K21" s="2"/>
      <c r="L21" s="33"/>
      <c r="M21" s="39"/>
      <c r="N21" s="2"/>
      <c r="O21" s="33"/>
      <c r="P21" s="39"/>
      <c r="Q21" s="2"/>
      <c r="R21" s="33"/>
      <c r="S21" s="39"/>
      <c r="T21" s="2"/>
      <c r="U21" s="33"/>
      <c r="V21" s="39"/>
      <c r="W21" s="2"/>
      <c r="X21" s="33"/>
      <c r="Y21" s="50"/>
      <c r="Z21" s="51"/>
      <c r="AA21" s="52"/>
      <c r="AB21" s="39"/>
      <c r="AC21" s="2"/>
      <c r="AD21" s="33"/>
      <c r="AE21" s="44"/>
      <c r="AF21" s="45"/>
      <c r="AG21" s="46"/>
      <c r="AH21" s="44"/>
      <c r="AI21" s="45"/>
      <c r="AJ21" s="46"/>
      <c r="AK21" s="44"/>
      <c r="AL21" s="45"/>
      <c r="AM21" s="46"/>
      <c r="AN21" s="44"/>
      <c r="AO21" s="45"/>
      <c r="AP21" s="46"/>
      <c r="AQ21" s="44"/>
      <c r="AR21" s="45"/>
      <c r="AS21" s="46"/>
      <c r="AT21" s="44"/>
      <c r="AU21" s="45"/>
      <c r="AV21" s="46"/>
      <c r="AW21" s="44"/>
      <c r="AX21" s="45"/>
      <c r="AY21" s="46"/>
      <c r="AZ21" s="50"/>
      <c r="BA21" s="51"/>
      <c r="BB21" s="52"/>
      <c r="BC21" s="50"/>
      <c r="BD21" s="51"/>
      <c r="BE21" s="52"/>
      <c r="BF21" s="50">
        <v>1</v>
      </c>
      <c r="BG21" s="51">
        <v>1</v>
      </c>
      <c r="BH21" s="52">
        <v>1</v>
      </c>
      <c r="BI21" s="50"/>
      <c r="BJ21" s="51"/>
      <c r="BK21" s="52"/>
      <c r="BL21" s="50"/>
      <c r="BM21" s="51"/>
      <c r="BN21" s="52"/>
      <c r="BO21" s="50"/>
      <c r="BP21" s="51"/>
      <c r="BQ21" s="52"/>
      <c r="BR21" s="50"/>
      <c r="BS21" s="51"/>
      <c r="BT21" s="52"/>
      <c r="BU21" s="50"/>
      <c r="BV21" s="51"/>
      <c r="BW21" s="52"/>
      <c r="BX21" s="50"/>
      <c r="BY21" s="51"/>
      <c r="BZ21" s="52"/>
      <c r="CA21" s="50"/>
      <c r="CB21" s="51"/>
      <c r="CC21" s="52"/>
      <c r="CD21" s="50"/>
      <c r="CE21" s="51"/>
      <c r="CF21" s="52"/>
      <c r="CG21" s="50"/>
      <c r="CH21" s="51"/>
      <c r="CI21" s="52"/>
      <c r="CJ21" s="50"/>
      <c r="CK21" s="51"/>
      <c r="CL21" s="52"/>
      <c r="CM21" s="50"/>
      <c r="CN21" s="51"/>
      <c r="CO21" s="52"/>
      <c r="CP21" s="50"/>
      <c r="CQ21" s="51"/>
      <c r="CR21" s="52"/>
      <c r="CS21" s="50"/>
      <c r="CT21" s="51"/>
      <c r="CU21" s="52"/>
      <c r="CV21" s="50"/>
      <c r="CW21" s="51"/>
      <c r="CX21" s="52"/>
      <c r="CY21" s="50"/>
      <c r="CZ21" s="51"/>
      <c r="DA21" s="52"/>
      <c r="DB21" s="50"/>
      <c r="DC21" s="51"/>
      <c r="DD21" s="52"/>
      <c r="DE21" s="50"/>
      <c r="DF21" s="51"/>
      <c r="DG21" s="69"/>
      <c r="DH21" s="64">
        <f t="shared" si="0"/>
        <v>3</v>
      </c>
    </row>
    <row r="22" spans="2:112" x14ac:dyDescent="0.25">
      <c r="B22" s="3" t="s">
        <v>18</v>
      </c>
      <c r="C22" s="11">
        <v>1</v>
      </c>
      <c r="D22" s="16">
        <v>1</v>
      </c>
      <c r="E22" s="4">
        <v>1</v>
      </c>
      <c r="F22" s="17">
        <v>1</v>
      </c>
      <c r="G22" s="14"/>
      <c r="H22" s="2"/>
      <c r="I22" s="33"/>
      <c r="J22" s="39"/>
      <c r="K22" s="2"/>
      <c r="L22" s="33"/>
      <c r="M22" s="39"/>
      <c r="N22" s="2"/>
      <c r="O22" s="33"/>
      <c r="P22" s="39"/>
      <c r="Q22" s="2"/>
      <c r="R22" s="33"/>
      <c r="S22" s="39"/>
      <c r="T22" s="2"/>
      <c r="U22" s="33"/>
      <c r="V22" s="39"/>
      <c r="W22" s="2"/>
      <c r="X22" s="33"/>
      <c r="Y22" s="50"/>
      <c r="Z22" s="51"/>
      <c r="AA22" s="52"/>
      <c r="AB22" s="39"/>
      <c r="AC22" s="2"/>
      <c r="AD22" s="33"/>
      <c r="AE22" s="44"/>
      <c r="AF22" s="45"/>
      <c r="AG22" s="46"/>
      <c r="AH22" s="44"/>
      <c r="AI22" s="45"/>
      <c r="AJ22" s="46"/>
      <c r="AK22" s="44"/>
      <c r="AL22" s="45"/>
      <c r="AM22" s="46"/>
      <c r="AN22" s="44"/>
      <c r="AO22" s="45"/>
      <c r="AP22" s="46"/>
      <c r="AQ22" s="44"/>
      <c r="AR22" s="45"/>
      <c r="AS22" s="46"/>
      <c r="AT22" s="44"/>
      <c r="AU22" s="45"/>
      <c r="AV22" s="46"/>
      <c r="AW22" s="44"/>
      <c r="AX22" s="45"/>
      <c r="AY22" s="46"/>
      <c r="AZ22" s="50"/>
      <c r="BA22" s="51"/>
      <c r="BB22" s="52"/>
      <c r="BC22" s="50"/>
      <c r="BD22" s="51"/>
      <c r="BE22" s="52"/>
      <c r="BF22" s="50"/>
      <c r="BG22" s="51"/>
      <c r="BH22" s="52"/>
      <c r="BI22" s="50">
        <v>1</v>
      </c>
      <c r="BJ22" s="51">
        <v>1</v>
      </c>
      <c r="BK22" s="52">
        <v>1</v>
      </c>
      <c r="BL22" s="50"/>
      <c r="BM22" s="51"/>
      <c r="BN22" s="52"/>
      <c r="BO22" s="50"/>
      <c r="BP22" s="51"/>
      <c r="BQ22" s="52"/>
      <c r="BR22" s="50"/>
      <c r="BS22" s="51"/>
      <c r="BT22" s="52"/>
      <c r="BU22" s="50"/>
      <c r="BV22" s="51"/>
      <c r="BW22" s="52"/>
      <c r="BX22" s="50"/>
      <c r="BY22" s="51"/>
      <c r="BZ22" s="52"/>
      <c r="CA22" s="50"/>
      <c r="CB22" s="51"/>
      <c r="CC22" s="52"/>
      <c r="CD22" s="50"/>
      <c r="CE22" s="51"/>
      <c r="CF22" s="52"/>
      <c r="CG22" s="50"/>
      <c r="CH22" s="51"/>
      <c r="CI22" s="52"/>
      <c r="CJ22" s="50"/>
      <c r="CK22" s="51"/>
      <c r="CL22" s="52"/>
      <c r="CM22" s="50"/>
      <c r="CN22" s="51"/>
      <c r="CO22" s="52"/>
      <c r="CP22" s="50"/>
      <c r="CQ22" s="51"/>
      <c r="CR22" s="52"/>
      <c r="CS22" s="50"/>
      <c r="CT22" s="51"/>
      <c r="CU22" s="52"/>
      <c r="CV22" s="50"/>
      <c r="CW22" s="51"/>
      <c r="CX22" s="52"/>
      <c r="CY22" s="50"/>
      <c r="CZ22" s="51"/>
      <c r="DA22" s="52"/>
      <c r="DB22" s="50"/>
      <c r="DC22" s="51"/>
      <c r="DD22" s="52"/>
      <c r="DE22" s="50"/>
      <c r="DF22" s="51"/>
      <c r="DG22" s="69"/>
      <c r="DH22" s="64">
        <f t="shared" si="0"/>
        <v>3</v>
      </c>
    </row>
    <row r="23" spans="2:112" x14ac:dyDescent="0.25">
      <c r="B23" s="3" t="s">
        <v>19</v>
      </c>
      <c r="C23" s="11">
        <v>1</v>
      </c>
      <c r="D23" s="16">
        <v>1</v>
      </c>
      <c r="E23" s="4">
        <v>1</v>
      </c>
      <c r="F23" s="17">
        <v>1</v>
      </c>
      <c r="G23" s="14"/>
      <c r="H23" s="2"/>
      <c r="I23" s="33"/>
      <c r="J23" s="39"/>
      <c r="K23" s="2"/>
      <c r="L23" s="33"/>
      <c r="M23" s="39"/>
      <c r="N23" s="2"/>
      <c r="O23" s="33"/>
      <c r="P23" s="39"/>
      <c r="Q23" s="2"/>
      <c r="R23" s="33"/>
      <c r="S23" s="39"/>
      <c r="T23" s="2"/>
      <c r="U23" s="33"/>
      <c r="V23" s="39"/>
      <c r="W23" s="2"/>
      <c r="X23" s="33"/>
      <c r="Y23" s="50"/>
      <c r="Z23" s="51"/>
      <c r="AA23" s="52"/>
      <c r="AB23" s="39"/>
      <c r="AC23" s="2"/>
      <c r="AD23" s="33"/>
      <c r="AE23" s="44"/>
      <c r="AF23" s="45"/>
      <c r="AG23" s="46"/>
      <c r="AH23" s="44"/>
      <c r="AI23" s="45"/>
      <c r="AJ23" s="46"/>
      <c r="AK23" s="44"/>
      <c r="AL23" s="45"/>
      <c r="AM23" s="46"/>
      <c r="AN23" s="44"/>
      <c r="AO23" s="45"/>
      <c r="AP23" s="46"/>
      <c r="AQ23" s="44"/>
      <c r="AR23" s="45"/>
      <c r="AS23" s="46"/>
      <c r="AT23" s="44"/>
      <c r="AU23" s="45"/>
      <c r="AV23" s="46"/>
      <c r="AW23" s="44"/>
      <c r="AX23" s="45"/>
      <c r="AY23" s="46"/>
      <c r="AZ23" s="50"/>
      <c r="BA23" s="51"/>
      <c r="BB23" s="52"/>
      <c r="BC23" s="50"/>
      <c r="BD23" s="51"/>
      <c r="BE23" s="52"/>
      <c r="BF23" s="50"/>
      <c r="BG23" s="51"/>
      <c r="BH23" s="52"/>
      <c r="BI23" s="50">
        <v>1</v>
      </c>
      <c r="BJ23" s="51">
        <v>1</v>
      </c>
      <c r="BK23" s="52">
        <v>1</v>
      </c>
      <c r="BL23" s="50"/>
      <c r="BM23" s="51"/>
      <c r="BN23" s="52"/>
      <c r="BO23" s="50"/>
      <c r="BP23" s="51"/>
      <c r="BQ23" s="52"/>
      <c r="BR23" s="50"/>
      <c r="BS23" s="51"/>
      <c r="BT23" s="52"/>
      <c r="BU23" s="50"/>
      <c r="BV23" s="51"/>
      <c r="BW23" s="52"/>
      <c r="BX23" s="50"/>
      <c r="BY23" s="51"/>
      <c r="BZ23" s="52"/>
      <c r="CA23" s="50"/>
      <c r="CB23" s="51"/>
      <c r="CC23" s="52"/>
      <c r="CD23" s="50"/>
      <c r="CE23" s="51"/>
      <c r="CF23" s="52"/>
      <c r="CG23" s="50"/>
      <c r="CH23" s="51"/>
      <c r="CI23" s="52"/>
      <c r="CJ23" s="50"/>
      <c r="CK23" s="51"/>
      <c r="CL23" s="52"/>
      <c r="CM23" s="50"/>
      <c r="CN23" s="51"/>
      <c r="CO23" s="52"/>
      <c r="CP23" s="50"/>
      <c r="CQ23" s="51"/>
      <c r="CR23" s="52"/>
      <c r="CS23" s="50"/>
      <c r="CT23" s="51"/>
      <c r="CU23" s="52"/>
      <c r="CV23" s="50"/>
      <c r="CW23" s="51"/>
      <c r="CX23" s="52"/>
      <c r="CY23" s="50"/>
      <c r="CZ23" s="51"/>
      <c r="DA23" s="52"/>
      <c r="DB23" s="50"/>
      <c r="DC23" s="51"/>
      <c r="DD23" s="52"/>
      <c r="DE23" s="50"/>
      <c r="DF23" s="51"/>
      <c r="DG23" s="69"/>
      <c r="DH23" s="64">
        <f t="shared" si="0"/>
        <v>3</v>
      </c>
    </row>
    <row r="24" spans="2:112" ht="15.75" thickBot="1" x14ac:dyDescent="0.3">
      <c r="B24" s="5" t="s">
        <v>20</v>
      </c>
      <c r="C24" s="12">
        <v>1</v>
      </c>
      <c r="D24" s="18">
        <v>1</v>
      </c>
      <c r="E24" s="6">
        <v>1</v>
      </c>
      <c r="F24" s="19">
        <v>1</v>
      </c>
      <c r="G24" s="63"/>
      <c r="H24" s="41"/>
      <c r="I24" s="42"/>
      <c r="J24" s="43"/>
      <c r="K24" s="41"/>
      <c r="L24" s="42"/>
      <c r="M24" s="43"/>
      <c r="N24" s="41"/>
      <c r="O24" s="42"/>
      <c r="P24" s="43"/>
      <c r="Q24" s="41"/>
      <c r="R24" s="42"/>
      <c r="S24" s="43"/>
      <c r="T24" s="41"/>
      <c r="U24" s="42"/>
      <c r="V24" s="43"/>
      <c r="W24" s="41"/>
      <c r="X24" s="42"/>
      <c r="Y24" s="53"/>
      <c r="Z24" s="54"/>
      <c r="AA24" s="55"/>
      <c r="AB24" s="43"/>
      <c r="AC24" s="41"/>
      <c r="AD24" s="42"/>
      <c r="AE24" s="47"/>
      <c r="AF24" s="48"/>
      <c r="AG24" s="49"/>
      <c r="AH24" s="47"/>
      <c r="AI24" s="48"/>
      <c r="AJ24" s="49"/>
      <c r="AK24" s="47"/>
      <c r="AL24" s="48"/>
      <c r="AM24" s="49"/>
      <c r="AN24" s="47"/>
      <c r="AO24" s="48"/>
      <c r="AP24" s="49"/>
      <c r="AQ24" s="47"/>
      <c r="AR24" s="48"/>
      <c r="AS24" s="49"/>
      <c r="AT24" s="47"/>
      <c r="AU24" s="48"/>
      <c r="AV24" s="49"/>
      <c r="AW24" s="47"/>
      <c r="AX24" s="48"/>
      <c r="AY24" s="49"/>
      <c r="AZ24" s="53"/>
      <c r="BA24" s="54"/>
      <c r="BB24" s="55"/>
      <c r="BC24" s="53"/>
      <c r="BD24" s="54"/>
      <c r="BE24" s="55"/>
      <c r="BF24" s="53"/>
      <c r="BG24" s="54"/>
      <c r="BH24" s="55"/>
      <c r="BI24" s="53"/>
      <c r="BJ24" s="54"/>
      <c r="BK24" s="55"/>
      <c r="BL24" s="53">
        <v>1</v>
      </c>
      <c r="BM24" s="54">
        <v>1</v>
      </c>
      <c r="BN24" s="55">
        <v>1</v>
      </c>
      <c r="BO24" s="53"/>
      <c r="BP24" s="54"/>
      <c r="BQ24" s="55"/>
      <c r="BR24" s="53"/>
      <c r="BS24" s="54"/>
      <c r="BT24" s="55"/>
      <c r="BU24" s="53"/>
      <c r="BV24" s="54"/>
      <c r="BW24" s="55"/>
      <c r="BX24" s="53"/>
      <c r="BY24" s="54"/>
      <c r="BZ24" s="55"/>
      <c r="CA24" s="53"/>
      <c r="CB24" s="54"/>
      <c r="CC24" s="55"/>
      <c r="CD24" s="53"/>
      <c r="CE24" s="54"/>
      <c r="CF24" s="55"/>
      <c r="CG24" s="53"/>
      <c r="CH24" s="54"/>
      <c r="CI24" s="55"/>
      <c r="CJ24" s="53"/>
      <c r="CK24" s="54"/>
      <c r="CL24" s="55"/>
      <c r="CM24" s="53"/>
      <c r="CN24" s="54"/>
      <c r="CO24" s="55"/>
      <c r="CP24" s="53"/>
      <c r="CQ24" s="54"/>
      <c r="CR24" s="55"/>
      <c r="CS24" s="53"/>
      <c r="CT24" s="54"/>
      <c r="CU24" s="55"/>
      <c r="CV24" s="53"/>
      <c r="CW24" s="54"/>
      <c r="CX24" s="55"/>
      <c r="CY24" s="53"/>
      <c r="CZ24" s="54"/>
      <c r="DA24" s="55"/>
      <c r="DB24" s="53"/>
      <c r="DC24" s="54"/>
      <c r="DD24" s="55"/>
      <c r="DE24" s="53"/>
      <c r="DF24" s="54"/>
      <c r="DG24" s="70"/>
      <c r="DH24" s="64">
        <f t="shared" si="0"/>
        <v>3</v>
      </c>
    </row>
    <row r="25" spans="2:112" ht="16.5" thickTop="1" thickBot="1" x14ac:dyDescent="0.3">
      <c r="B25" s="7" t="s">
        <v>28</v>
      </c>
      <c r="C25" s="13">
        <f>SUM(C9:C24)</f>
        <v>16</v>
      </c>
      <c r="D25" s="20">
        <f t="shared" ref="D25:X25" si="1">SUM(D9:D24)</f>
        <v>16</v>
      </c>
      <c r="E25" s="7">
        <f t="shared" si="1"/>
        <v>16</v>
      </c>
      <c r="F25" s="21">
        <f t="shared" si="1"/>
        <v>16</v>
      </c>
      <c r="G25" s="29">
        <f t="shared" si="1"/>
        <v>2</v>
      </c>
      <c r="H25" s="7">
        <f t="shared" si="1"/>
        <v>2</v>
      </c>
      <c r="I25" s="7">
        <f t="shared" si="1"/>
        <v>2</v>
      </c>
      <c r="J25" s="7">
        <f t="shared" si="1"/>
        <v>2</v>
      </c>
      <c r="K25" s="7">
        <f t="shared" si="1"/>
        <v>2</v>
      </c>
      <c r="L25" s="7">
        <f t="shared" si="1"/>
        <v>2</v>
      </c>
      <c r="M25" s="7">
        <f t="shared" si="1"/>
        <v>2</v>
      </c>
      <c r="N25" s="7">
        <f t="shared" si="1"/>
        <v>2</v>
      </c>
      <c r="O25" s="7">
        <f t="shared" si="1"/>
        <v>2</v>
      </c>
      <c r="P25" s="7">
        <f t="shared" si="1"/>
        <v>1</v>
      </c>
      <c r="Q25" s="7">
        <f t="shared" si="1"/>
        <v>1</v>
      </c>
      <c r="R25" s="7">
        <f t="shared" si="1"/>
        <v>1</v>
      </c>
      <c r="S25" s="7">
        <f t="shared" si="1"/>
        <v>0</v>
      </c>
      <c r="T25" s="7">
        <f t="shared" si="1"/>
        <v>0</v>
      </c>
      <c r="U25" s="7">
        <f t="shared" si="1"/>
        <v>0</v>
      </c>
      <c r="V25" s="7">
        <f t="shared" si="1"/>
        <v>0</v>
      </c>
      <c r="W25" s="7">
        <f t="shared" si="1"/>
        <v>0</v>
      </c>
      <c r="X25" s="7">
        <f t="shared" si="1"/>
        <v>0</v>
      </c>
      <c r="Y25" s="7">
        <f>SUM(Y9:Y24)</f>
        <v>0</v>
      </c>
      <c r="Z25" s="7">
        <f>SUM(Z9:Z24)</f>
        <v>0</v>
      </c>
      <c r="AA25" s="7">
        <f>SUM(AA9:AA24)</f>
        <v>0</v>
      </c>
      <c r="AB25" s="7">
        <f t="shared" ref="AB25:CM25" si="2">SUM(AB9:AB24)</f>
        <v>0</v>
      </c>
      <c r="AC25" s="7">
        <f t="shared" si="2"/>
        <v>0</v>
      </c>
      <c r="AD25" s="7">
        <f t="shared" si="2"/>
        <v>0</v>
      </c>
      <c r="AE25" s="7">
        <f t="shared" si="2"/>
        <v>0</v>
      </c>
      <c r="AF25" s="7">
        <f t="shared" si="2"/>
        <v>0</v>
      </c>
      <c r="AG25" s="7">
        <f t="shared" si="2"/>
        <v>0</v>
      </c>
      <c r="AH25" s="7">
        <f t="shared" si="2"/>
        <v>0</v>
      </c>
      <c r="AI25" s="7">
        <f t="shared" si="2"/>
        <v>0</v>
      </c>
      <c r="AJ25" s="7">
        <f t="shared" si="2"/>
        <v>0</v>
      </c>
      <c r="AK25" s="7">
        <f t="shared" si="2"/>
        <v>0</v>
      </c>
      <c r="AL25" s="7">
        <f t="shared" si="2"/>
        <v>0</v>
      </c>
      <c r="AM25" s="7">
        <f t="shared" si="2"/>
        <v>0</v>
      </c>
      <c r="AN25" s="7">
        <f t="shared" si="2"/>
        <v>0</v>
      </c>
      <c r="AO25" s="7">
        <f t="shared" si="2"/>
        <v>0</v>
      </c>
      <c r="AP25" s="7">
        <f t="shared" si="2"/>
        <v>0</v>
      </c>
      <c r="AQ25" s="7">
        <f t="shared" si="2"/>
        <v>0</v>
      </c>
      <c r="AR25" s="7">
        <f t="shared" si="2"/>
        <v>0</v>
      </c>
      <c r="AS25" s="7">
        <f t="shared" si="2"/>
        <v>0</v>
      </c>
      <c r="AT25" s="7">
        <f t="shared" si="2"/>
        <v>0</v>
      </c>
      <c r="AU25" s="7">
        <f t="shared" si="2"/>
        <v>0</v>
      </c>
      <c r="AV25" s="7">
        <f t="shared" si="2"/>
        <v>0</v>
      </c>
      <c r="AW25" s="7">
        <f t="shared" si="2"/>
        <v>0</v>
      </c>
      <c r="AX25" s="7">
        <f t="shared" si="2"/>
        <v>0</v>
      </c>
      <c r="AY25" s="7">
        <f t="shared" si="2"/>
        <v>0</v>
      </c>
      <c r="AZ25" s="7">
        <f t="shared" si="2"/>
        <v>2</v>
      </c>
      <c r="BA25" s="7">
        <f t="shared" si="2"/>
        <v>2</v>
      </c>
      <c r="BB25" s="7">
        <f t="shared" si="2"/>
        <v>2</v>
      </c>
      <c r="BC25" s="7">
        <f t="shared" si="2"/>
        <v>2</v>
      </c>
      <c r="BD25" s="7">
        <f t="shared" si="2"/>
        <v>2</v>
      </c>
      <c r="BE25" s="7">
        <f t="shared" si="2"/>
        <v>2</v>
      </c>
      <c r="BF25" s="7">
        <f t="shared" si="2"/>
        <v>2</v>
      </c>
      <c r="BG25" s="7">
        <f t="shared" si="2"/>
        <v>2</v>
      </c>
      <c r="BH25" s="7">
        <f t="shared" si="2"/>
        <v>2</v>
      </c>
      <c r="BI25" s="7">
        <f t="shared" si="2"/>
        <v>2</v>
      </c>
      <c r="BJ25" s="7">
        <f t="shared" si="2"/>
        <v>2</v>
      </c>
      <c r="BK25" s="7">
        <f t="shared" si="2"/>
        <v>2</v>
      </c>
      <c r="BL25" s="7">
        <f t="shared" si="2"/>
        <v>1</v>
      </c>
      <c r="BM25" s="7">
        <f t="shared" si="2"/>
        <v>1</v>
      </c>
      <c r="BN25" s="7">
        <f t="shared" si="2"/>
        <v>1</v>
      </c>
      <c r="BO25" s="7">
        <f t="shared" si="2"/>
        <v>0</v>
      </c>
      <c r="BP25" s="7">
        <f t="shared" si="2"/>
        <v>0</v>
      </c>
      <c r="BQ25" s="7">
        <f t="shared" si="2"/>
        <v>0</v>
      </c>
      <c r="BR25" s="7">
        <f t="shared" si="2"/>
        <v>0</v>
      </c>
      <c r="BS25" s="7">
        <f t="shared" si="2"/>
        <v>0</v>
      </c>
      <c r="BT25" s="7">
        <f t="shared" si="2"/>
        <v>0</v>
      </c>
      <c r="BU25" s="7">
        <f t="shared" si="2"/>
        <v>0</v>
      </c>
      <c r="BV25" s="7">
        <f t="shared" si="2"/>
        <v>0</v>
      </c>
      <c r="BW25" s="7">
        <f t="shared" si="2"/>
        <v>0</v>
      </c>
      <c r="BX25" s="7">
        <f t="shared" si="2"/>
        <v>0</v>
      </c>
      <c r="BY25" s="7">
        <f t="shared" si="2"/>
        <v>0</v>
      </c>
      <c r="BZ25" s="7">
        <f t="shared" si="2"/>
        <v>0</v>
      </c>
      <c r="CA25" s="7">
        <f t="shared" si="2"/>
        <v>0</v>
      </c>
      <c r="CB25" s="7">
        <f t="shared" si="2"/>
        <v>0</v>
      </c>
      <c r="CC25" s="7">
        <f t="shared" si="2"/>
        <v>0</v>
      </c>
      <c r="CD25" s="7">
        <f t="shared" si="2"/>
        <v>0</v>
      </c>
      <c r="CE25" s="7">
        <f t="shared" si="2"/>
        <v>0</v>
      </c>
      <c r="CF25" s="7">
        <f t="shared" si="2"/>
        <v>0</v>
      </c>
      <c r="CG25" s="7">
        <f t="shared" si="2"/>
        <v>0</v>
      </c>
      <c r="CH25" s="7">
        <f t="shared" si="2"/>
        <v>0</v>
      </c>
      <c r="CI25" s="7">
        <f t="shared" si="2"/>
        <v>0</v>
      </c>
      <c r="CJ25" s="7">
        <f t="shared" si="2"/>
        <v>0</v>
      </c>
      <c r="CK25" s="7">
        <f t="shared" si="2"/>
        <v>0</v>
      </c>
      <c r="CL25" s="7">
        <f t="shared" si="2"/>
        <v>0</v>
      </c>
      <c r="CM25" s="7">
        <f t="shared" si="2"/>
        <v>0</v>
      </c>
      <c r="CN25" s="7">
        <f t="shared" ref="CN25:DG25" si="3">SUM(CN9:CN24)</f>
        <v>0</v>
      </c>
      <c r="CO25" s="7">
        <f t="shared" si="3"/>
        <v>0</v>
      </c>
      <c r="CP25" s="7">
        <f t="shared" si="3"/>
        <v>0</v>
      </c>
      <c r="CQ25" s="7">
        <f t="shared" si="3"/>
        <v>0</v>
      </c>
      <c r="CR25" s="7">
        <f t="shared" si="3"/>
        <v>0</v>
      </c>
      <c r="CS25" s="7">
        <f t="shared" si="3"/>
        <v>0</v>
      </c>
      <c r="CT25" s="7">
        <f t="shared" si="3"/>
        <v>0</v>
      </c>
      <c r="CU25" s="7">
        <f t="shared" si="3"/>
        <v>0</v>
      </c>
      <c r="CV25" s="7">
        <f t="shared" si="3"/>
        <v>0</v>
      </c>
      <c r="CW25" s="7">
        <f t="shared" si="3"/>
        <v>0</v>
      </c>
      <c r="CX25" s="7">
        <f t="shared" si="3"/>
        <v>0</v>
      </c>
      <c r="CY25" s="7">
        <f t="shared" si="3"/>
        <v>0</v>
      </c>
      <c r="CZ25" s="7">
        <f t="shared" si="3"/>
        <v>0</v>
      </c>
      <c r="DA25" s="7">
        <f t="shared" si="3"/>
        <v>0</v>
      </c>
      <c r="DB25" s="7">
        <f t="shared" si="3"/>
        <v>0</v>
      </c>
      <c r="DC25" s="7">
        <f t="shared" si="3"/>
        <v>0</v>
      </c>
      <c r="DD25" s="7">
        <f t="shared" si="3"/>
        <v>0</v>
      </c>
      <c r="DE25" s="7">
        <f t="shared" si="3"/>
        <v>0</v>
      </c>
      <c r="DF25" s="7">
        <f t="shared" si="3"/>
        <v>0</v>
      </c>
      <c r="DG25" s="13">
        <f t="shared" si="3"/>
        <v>0</v>
      </c>
      <c r="DH25" s="65">
        <f>SUM(DH9:DH24)</f>
        <v>48</v>
      </c>
    </row>
    <row r="26" spans="2:112" ht="15.75" thickTop="1" x14ac:dyDescent="0.25">
      <c r="B26" s="130" t="s">
        <v>65</v>
      </c>
      <c r="C26" s="131"/>
      <c r="D26" s="121" t="s">
        <v>30</v>
      </c>
      <c r="E26" s="122"/>
      <c r="F26" s="123"/>
      <c r="G26" s="146" t="s">
        <v>31</v>
      </c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  <c r="AJ26" s="147"/>
      <c r="AK26" s="147"/>
      <c r="AL26" s="147"/>
      <c r="AM26" s="147"/>
      <c r="AN26" s="147"/>
      <c r="AO26" s="147"/>
      <c r="AP26" s="147"/>
      <c r="AQ26" s="147"/>
      <c r="AR26" s="147"/>
      <c r="AS26" s="147"/>
      <c r="AT26" s="147"/>
      <c r="AU26" s="147"/>
      <c r="AV26" s="147"/>
      <c r="AW26" s="147"/>
      <c r="AX26" s="147"/>
      <c r="AY26" s="147"/>
      <c r="AZ26" s="147"/>
      <c r="BA26" s="147"/>
      <c r="BB26" s="147"/>
      <c r="BC26" s="147"/>
      <c r="BD26" s="147"/>
      <c r="BE26" s="147"/>
      <c r="BF26" s="147"/>
      <c r="BG26" s="147"/>
      <c r="BH26" s="147"/>
      <c r="BI26" s="147"/>
      <c r="BJ26" s="147"/>
      <c r="BK26" s="147"/>
      <c r="BL26" s="147"/>
      <c r="BM26" s="147"/>
      <c r="BN26" s="147"/>
      <c r="BO26" s="147"/>
      <c r="BP26" s="147"/>
      <c r="BQ26" s="147"/>
      <c r="BR26" s="147"/>
      <c r="BS26" s="147"/>
      <c r="BT26" s="147"/>
      <c r="BU26" s="147"/>
      <c r="BV26" s="147"/>
      <c r="BW26" s="147"/>
      <c r="BX26" s="147"/>
      <c r="BY26" s="147"/>
      <c r="BZ26" s="147"/>
      <c r="CA26" s="147"/>
      <c r="CB26" s="147"/>
      <c r="CC26" s="147"/>
      <c r="CD26" s="147"/>
      <c r="CE26" s="147"/>
      <c r="CF26" s="147"/>
      <c r="CG26" s="147"/>
      <c r="CH26" s="147"/>
      <c r="CI26" s="147"/>
      <c r="CJ26" s="147"/>
      <c r="CK26" s="147"/>
      <c r="CL26" s="147"/>
      <c r="CM26" s="147"/>
      <c r="CN26" s="147"/>
      <c r="CO26" s="147"/>
      <c r="CP26" s="147"/>
      <c r="CQ26" s="147"/>
      <c r="CR26" s="147"/>
      <c r="CS26" s="147"/>
      <c r="CT26" s="147"/>
      <c r="CU26" s="147"/>
      <c r="CV26" s="147"/>
      <c r="CW26" s="147"/>
      <c r="CX26" s="147"/>
      <c r="CY26" s="147"/>
      <c r="CZ26" s="147"/>
      <c r="DA26" s="147"/>
      <c r="DB26" s="147"/>
      <c r="DC26" s="147"/>
      <c r="DD26" s="147"/>
      <c r="DE26" s="147"/>
      <c r="DF26" s="147"/>
      <c r="DG26" s="148"/>
      <c r="DH26" s="157" t="s">
        <v>63</v>
      </c>
    </row>
    <row r="27" spans="2:112" x14ac:dyDescent="0.25">
      <c r="B27" s="132"/>
      <c r="C27" s="133"/>
      <c r="D27" s="124"/>
      <c r="E27" s="125"/>
      <c r="F27" s="126"/>
      <c r="G27" s="139">
        <v>46174</v>
      </c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0"/>
      <c r="AQ27" s="140"/>
      <c r="AR27" s="140"/>
      <c r="AS27" s="140"/>
      <c r="AT27" s="140"/>
      <c r="AU27" s="140"/>
      <c r="AV27" s="140"/>
      <c r="AW27" s="140"/>
      <c r="AX27" s="140"/>
      <c r="AY27" s="140"/>
      <c r="AZ27" s="140"/>
      <c r="BA27" s="140"/>
      <c r="BB27" s="140"/>
      <c r="BC27" s="140"/>
      <c r="BD27" s="140"/>
      <c r="BE27" s="140"/>
      <c r="BF27" s="140"/>
      <c r="BG27" s="140"/>
      <c r="BH27" s="140"/>
      <c r="BI27" s="140"/>
      <c r="BJ27" s="140"/>
      <c r="BK27" s="140"/>
      <c r="BL27" s="140"/>
      <c r="BM27" s="140"/>
      <c r="BN27" s="140"/>
      <c r="BO27" s="140"/>
      <c r="BP27" s="140"/>
      <c r="BQ27" s="140"/>
      <c r="BR27" s="140"/>
      <c r="BS27" s="140"/>
      <c r="BT27" s="140"/>
      <c r="BU27" s="140"/>
      <c r="BV27" s="140"/>
      <c r="BW27" s="140"/>
      <c r="BX27" s="140"/>
      <c r="BY27" s="140"/>
      <c r="BZ27" s="140"/>
      <c r="CA27" s="140"/>
      <c r="CB27" s="140"/>
      <c r="CC27" s="140"/>
      <c r="CD27" s="140"/>
      <c r="CE27" s="140"/>
      <c r="CF27" s="140"/>
      <c r="CG27" s="140"/>
      <c r="CH27" s="140"/>
      <c r="CI27" s="140"/>
      <c r="CJ27" s="140"/>
      <c r="CK27" s="140"/>
      <c r="CL27" s="140"/>
      <c r="CM27" s="140"/>
      <c r="CN27" s="140"/>
      <c r="CO27" s="140"/>
      <c r="CP27" s="140"/>
      <c r="CQ27" s="140"/>
      <c r="CR27" s="140"/>
      <c r="CS27" s="154">
        <v>46204</v>
      </c>
      <c r="CT27" s="155"/>
      <c r="CU27" s="155"/>
      <c r="CV27" s="155"/>
      <c r="CW27" s="155"/>
      <c r="CX27" s="155"/>
      <c r="CY27" s="155"/>
      <c r="CZ27" s="155"/>
      <c r="DA27" s="155"/>
      <c r="DB27" s="155"/>
      <c r="DC27" s="155"/>
      <c r="DD27" s="155"/>
      <c r="DE27" s="155"/>
      <c r="DF27" s="155"/>
      <c r="DG27" s="156"/>
      <c r="DH27" s="158"/>
    </row>
    <row r="28" spans="2:112" ht="35.25" customHeight="1" x14ac:dyDescent="0.25">
      <c r="B28" s="134"/>
      <c r="C28" s="135"/>
      <c r="D28" s="136" t="s">
        <v>21</v>
      </c>
      <c r="E28" s="137"/>
      <c r="F28" s="138"/>
      <c r="G28" s="127" t="s">
        <v>32</v>
      </c>
      <c r="H28" s="120"/>
      <c r="I28" s="120"/>
      <c r="J28" s="120" t="s">
        <v>33</v>
      </c>
      <c r="K28" s="120"/>
      <c r="L28" s="120"/>
      <c r="M28" s="120" t="s">
        <v>34</v>
      </c>
      <c r="N28" s="120"/>
      <c r="O28" s="120"/>
      <c r="P28" s="120" t="s">
        <v>35</v>
      </c>
      <c r="Q28" s="120"/>
      <c r="R28" s="120"/>
      <c r="S28" s="120" t="s">
        <v>36</v>
      </c>
      <c r="T28" s="120"/>
      <c r="U28" s="120"/>
      <c r="V28" s="120" t="s">
        <v>37</v>
      </c>
      <c r="W28" s="120"/>
      <c r="X28" s="120"/>
      <c r="Y28" s="120" t="s">
        <v>38</v>
      </c>
      <c r="Z28" s="120"/>
      <c r="AA28" s="120"/>
      <c r="AB28" s="120" t="s">
        <v>40</v>
      </c>
      <c r="AC28" s="120"/>
      <c r="AD28" s="120"/>
      <c r="AE28" s="120" t="s">
        <v>41</v>
      </c>
      <c r="AF28" s="120"/>
      <c r="AG28" s="120"/>
      <c r="AH28" s="120" t="s">
        <v>42</v>
      </c>
      <c r="AI28" s="120"/>
      <c r="AJ28" s="120"/>
      <c r="AK28" s="120" t="s">
        <v>43</v>
      </c>
      <c r="AL28" s="120"/>
      <c r="AM28" s="120"/>
      <c r="AN28" s="120" t="s">
        <v>44</v>
      </c>
      <c r="AO28" s="120"/>
      <c r="AP28" s="120"/>
      <c r="AQ28" s="120" t="s">
        <v>45</v>
      </c>
      <c r="AR28" s="120"/>
      <c r="AS28" s="120"/>
      <c r="AT28" s="120" t="s">
        <v>46</v>
      </c>
      <c r="AU28" s="120"/>
      <c r="AV28" s="120"/>
      <c r="AW28" s="120" t="s">
        <v>47</v>
      </c>
      <c r="AX28" s="120"/>
      <c r="AY28" s="120"/>
      <c r="AZ28" s="120" t="s">
        <v>48</v>
      </c>
      <c r="BA28" s="120"/>
      <c r="BB28" s="120"/>
      <c r="BC28" s="120" t="s">
        <v>49</v>
      </c>
      <c r="BD28" s="120"/>
      <c r="BE28" s="120"/>
      <c r="BF28" s="120" t="s">
        <v>50</v>
      </c>
      <c r="BG28" s="120"/>
      <c r="BH28" s="120"/>
      <c r="BI28" s="120" t="s">
        <v>51</v>
      </c>
      <c r="BJ28" s="120"/>
      <c r="BK28" s="120"/>
      <c r="BL28" s="120" t="s">
        <v>52</v>
      </c>
      <c r="BM28" s="120"/>
      <c r="BN28" s="120"/>
      <c r="BO28" s="120" t="s">
        <v>53</v>
      </c>
      <c r="BP28" s="120"/>
      <c r="BQ28" s="120"/>
      <c r="BR28" s="120" t="s">
        <v>54</v>
      </c>
      <c r="BS28" s="120"/>
      <c r="BT28" s="120"/>
      <c r="BU28" s="120" t="s">
        <v>55</v>
      </c>
      <c r="BV28" s="120"/>
      <c r="BW28" s="120"/>
      <c r="BX28" s="120" t="s">
        <v>56</v>
      </c>
      <c r="BY28" s="120"/>
      <c r="BZ28" s="120"/>
      <c r="CA28" s="120" t="s">
        <v>57</v>
      </c>
      <c r="CB28" s="120"/>
      <c r="CC28" s="120"/>
      <c r="CD28" s="120" t="s">
        <v>58</v>
      </c>
      <c r="CE28" s="120"/>
      <c r="CF28" s="120"/>
      <c r="CG28" s="120" t="s">
        <v>59</v>
      </c>
      <c r="CH28" s="120"/>
      <c r="CI28" s="120"/>
      <c r="CJ28" s="120" t="s">
        <v>60</v>
      </c>
      <c r="CK28" s="120"/>
      <c r="CL28" s="120"/>
      <c r="CM28" s="120" t="s">
        <v>61</v>
      </c>
      <c r="CN28" s="120"/>
      <c r="CO28" s="120"/>
      <c r="CP28" s="120" t="s">
        <v>62</v>
      </c>
      <c r="CQ28" s="120"/>
      <c r="CR28" s="120"/>
      <c r="CS28" s="120" t="s">
        <v>32</v>
      </c>
      <c r="CT28" s="120"/>
      <c r="CU28" s="120"/>
      <c r="CV28" s="120" t="s">
        <v>33</v>
      </c>
      <c r="CW28" s="120"/>
      <c r="CX28" s="120"/>
      <c r="CY28" s="120" t="s">
        <v>34</v>
      </c>
      <c r="CZ28" s="120"/>
      <c r="DA28" s="120"/>
      <c r="DB28" s="120" t="s">
        <v>35</v>
      </c>
      <c r="DC28" s="120"/>
      <c r="DD28" s="120"/>
      <c r="DE28" s="120" t="s">
        <v>36</v>
      </c>
      <c r="DF28" s="120"/>
      <c r="DG28" s="149"/>
      <c r="DH28" s="159"/>
    </row>
    <row r="29" spans="2:112" ht="30" x14ac:dyDescent="0.25">
      <c r="B29" s="2" t="s">
        <v>0</v>
      </c>
      <c r="C29" s="10" t="s">
        <v>1</v>
      </c>
      <c r="D29" s="26" t="s">
        <v>2</v>
      </c>
      <c r="E29" s="27" t="s">
        <v>3</v>
      </c>
      <c r="F29" s="28" t="s">
        <v>4</v>
      </c>
      <c r="G29" s="30" t="s">
        <v>2</v>
      </c>
      <c r="H29" s="25" t="s">
        <v>3</v>
      </c>
      <c r="I29" s="31" t="s">
        <v>4</v>
      </c>
      <c r="J29" s="32" t="s">
        <v>2</v>
      </c>
      <c r="K29" s="25" t="s">
        <v>3</v>
      </c>
      <c r="L29" s="31" t="s">
        <v>4</v>
      </c>
      <c r="M29" s="32" t="s">
        <v>2</v>
      </c>
      <c r="N29" s="25" t="s">
        <v>3</v>
      </c>
      <c r="O29" s="31" t="s">
        <v>4</v>
      </c>
      <c r="P29" s="32" t="s">
        <v>2</v>
      </c>
      <c r="Q29" s="25" t="s">
        <v>3</v>
      </c>
      <c r="R29" s="31" t="s">
        <v>4</v>
      </c>
      <c r="S29" s="32" t="s">
        <v>2</v>
      </c>
      <c r="T29" s="25" t="s">
        <v>3</v>
      </c>
      <c r="U29" s="31" t="s">
        <v>4</v>
      </c>
      <c r="V29" s="32" t="s">
        <v>2</v>
      </c>
      <c r="W29" s="25" t="s">
        <v>3</v>
      </c>
      <c r="X29" s="31" t="s">
        <v>4</v>
      </c>
      <c r="Y29" s="32" t="s">
        <v>2</v>
      </c>
      <c r="Z29" s="25" t="s">
        <v>3</v>
      </c>
      <c r="AA29" s="31" t="s">
        <v>4</v>
      </c>
      <c r="AB29" s="32" t="s">
        <v>2</v>
      </c>
      <c r="AC29" s="25" t="s">
        <v>3</v>
      </c>
      <c r="AD29" s="31" t="s">
        <v>4</v>
      </c>
      <c r="AE29" s="32" t="s">
        <v>2</v>
      </c>
      <c r="AF29" s="25" t="s">
        <v>3</v>
      </c>
      <c r="AG29" s="31" t="s">
        <v>4</v>
      </c>
      <c r="AH29" s="32" t="s">
        <v>2</v>
      </c>
      <c r="AI29" s="25" t="s">
        <v>3</v>
      </c>
      <c r="AJ29" s="31" t="s">
        <v>4</v>
      </c>
      <c r="AK29" s="32" t="s">
        <v>2</v>
      </c>
      <c r="AL29" s="25" t="s">
        <v>3</v>
      </c>
      <c r="AM29" s="31" t="s">
        <v>4</v>
      </c>
      <c r="AN29" s="32" t="s">
        <v>2</v>
      </c>
      <c r="AO29" s="25" t="s">
        <v>3</v>
      </c>
      <c r="AP29" s="31" t="s">
        <v>4</v>
      </c>
      <c r="AQ29" s="32" t="s">
        <v>2</v>
      </c>
      <c r="AR29" s="25" t="s">
        <v>3</v>
      </c>
      <c r="AS29" s="31" t="s">
        <v>4</v>
      </c>
      <c r="AT29" s="32" t="s">
        <v>2</v>
      </c>
      <c r="AU29" s="25" t="s">
        <v>3</v>
      </c>
      <c r="AV29" s="31" t="s">
        <v>4</v>
      </c>
      <c r="AW29" s="32" t="s">
        <v>2</v>
      </c>
      <c r="AX29" s="25" t="s">
        <v>3</v>
      </c>
      <c r="AY29" s="31" t="s">
        <v>4</v>
      </c>
      <c r="AZ29" s="32" t="s">
        <v>2</v>
      </c>
      <c r="BA29" s="25" t="s">
        <v>3</v>
      </c>
      <c r="BB29" s="31" t="s">
        <v>4</v>
      </c>
      <c r="BC29" s="32" t="s">
        <v>2</v>
      </c>
      <c r="BD29" s="25" t="s">
        <v>3</v>
      </c>
      <c r="BE29" s="31" t="s">
        <v>4</v>
      </c>
      <c r="BF29" s="32" t="s">
        <v>2</v>
      </c>
      <c r="BG29" s="25" t="s">
        <v>3</v>
      </c>
      <c r="BH29" s="31" t="s">
        <v>4</v>
      </c>
      <c r="BI29" s="32" t="s">
        <v>2</v>
      </c>
      <c r="BJ29" s="25" t="s">
        <v>3</v>
      </c>
      <c r="BK29" s="31" t="s">
        <v>4</v>
      </c>
      <c r="BL29" s="32" t="s">
        <v>2</v>
      </c>
      <c r="BM29" s="25" t="s">
        <v>3</v>
      </c>
      <c r="BN29" s="31" t="s">
        <v>4</v>
      </c>
      <c r="BO29" s="32" t="s">
        <v>2</v>
      </c>
      <c r="BP29" s="25" t="s">
        <v>3</v>
      </c>
      <c r="BQ29" s="31" t="s">
        <v>4</v>
      </c>
      <c r="BR29" s="32" t="s">
        <v>2</v>
      </c>
      <c r="BS29" s="25" t="s">
        <v>3</v>
      </c>
      <c r="BT29" s="31" t="s">
        <v>4</v>
      </c>
      <c r="BU29" s="32" t="s">
        <v>2</v>
      </c>
      <c r="BV29" s="25" t="s">
        <v>3</v>
      </c>
      <c r="BW29" s="31" t="s">
        <v>4</v>
      </c>
      <c r="BX29" s="32" t="s">
        <v>2</v>
      </c>
      <c r="BY29" s="25" t="s">
        <v>3</v>
      </c>
      <c r="BZ29" s="31" t="s">
        <v>4</v>
      </c>
      <c r="CA29" s="32" t="s">
        <v>2</v>
      </c>
      <c r="CB29" s="25" t="s">
        <v>3</v>
      </c>
      <c r="CC29" s="31" t="s">
        <v>4</v>
      </c>
      <c r="CD29" s="32" t="s">
        <v>2</v>
      </c>
      <c r="CE29" s="25" t="s">
        <v>3</v>
      </c>
      <c r="CF29" s="31" t="s">
        <v>4</v>
      </c>
      <c r="CG29" s="32" t="s">
        <v>2</v>
      </c>
      <c r="CH29" s="25" t="s">
        <v>3</v>
      </c>
      <c r="CI29" s="31" t="s">
        <v>4</v>
      </c>
      <c r="CJ29" s="32" t="s">
        <v>2</v>
      </c>
      <c r="CK29" s="25" t="s">
        <v>3</v>
      </c>
      <c r="CL29" s="31" t="s">
        <v>4</v>
      </c>
      <c r="CM29" s="32" t="s">
        <v>2</v>
      </c>
      <c r="CN29" s="25" t="s">
        <v>3</v>
      </c>
      <c r="CO29" s="31" t="s">
        <v>4</v>
      </c>
      <c r="CP29" s="32" t="s">
        <v>2</v>
      </c>
      <c r="CQ29" s="25" t="s">
        <v>3</v>
      </c>
      <c r="CR29" s="31" t="s">
        <v>4</v>
      </c>
      <c r="CS29" s="32" t="s">
        <v>2</v>
      </c>
      <c r="CT29" s="25" t="s">
        <v>3</v>
      </c>
      <c r="CU29" s="31" t="s">
        <v>4</v>
      </c>
      <c r="CV29" s="32" t="s">
        <v>2</v>
      </c>
      <c r="CW29" s="25" t="s">
        <v>3</v>
      </c>
      <c r="CX29" s="31" t="s">
        <v>4</v>
      </c>
      <c r="CY29" s="32" t="s">
        <v>2</v>
      </c>
      <c r="CZ29" s="25" t="s">
        <v>3</v>
      </c>
      <c r="DA29" s="31" t="s">
        <v>4</v>
      </c>
      <c r="DB29" s="32" t="s">
        <v>2</v>
      </c>
      <c r="DC29" s="25" t="s">
        <v>3</v>
      </c>
      <c r="DD29" s="31" t="s">
        <v>4</v>
      </c>
      <c r="DE29" s="32" t="s">
        <v>2</v>
      </c>
      <c r="DF29" s="25" t="s">
        <v>3</v>
      </c>
      <c r="DG29" s="60" t="s">
        <v>4</v>
      </c>
      <c r="DH29" s="64"/>
    </row>
    <row r="30" spans="2:112" x14ac:dyDescent="0.25">
      <c r="B30" s="3" t="s">
        <v>5</v>
      </c>
      <c r="C30" s="11">
        <v>2</v>
      </c>
      <c r="D30" s="16">
        <v>2</v>
      </c>
      <c r="E30" s="4">
        <v>2</v>
      </c>
      <c r="F30" s="17">
        <v>2</v>
      </c>
      <c r="G30" s="15">
        <v>2</v>
      </c>
      <c r="H30" s="2">
        <v>2</v>
      </c>
      <c r="I30" s="33">
        <v>2</v>
      </c>
      <c r="J30" s="39"/>
      <c r="K30" s="14"/>
      <c r="L30" s="40"/>
      <c r="M30" s="39"/>
      <c r="N30" s="14"/>
      <c r="O30" s="40"/>
      <c r="P30" s="39"/>
      <c r="Q30" s="14"/>
      <c r="R30" s="40"/>
      <c r="S30" s="39"/>
      <c r="T30" s="14"/>
      <c r="U30" s="40"/>
      <c r="V30" s="39"/>
      <c r="W30" s="14"/>
      <c r="X30" s="40"/>
      <c r="Y30" s="50"/>
      <c r="Z30" s="56"/>
      <c r="AA30" s="57"/>
      <c r="AB30" s="39"/>
      <c r="AC30" s="14"/>
      <c r="AD30" s="40"/>
      <c r="AE30" s="44"/>
      <c r="AF30" s="45"/>
      <c r="AG30" s="46"/>
      <c r="AH30" s="44"/>
      <c r="AI30" s="45"/>
      <c r="AJ30" s="46"/>
      <c r="AK30" s="44"/>
      <c r="AL30" s="45"/>
      <c r="AM30" s="46"/>
      <c r="AN30" s="44"/>
      <c r="AO30" s="45"/>
      <c r="AP30" s="46"/>
      <c r="AQ30" s="44"/>
      <c r="AR30" s="45"/>
      <c r="AS30" s="46"/>
      <c r="AT30" s="44"/>
      <c r="AU30" s="45"/>
      <c r="AV30" s="46"/>
      <c r="AW30" s="44"/>
      <c r="AX30" s="45"/>
      <c r="AY30" s="46"/>
      <c r="AZ30" s="50"/>
      <c r="BA30" s="51"/>
      <c r="BB30" s="52"/>
      <c r="BC30" s="50"/>
      <c r="BD30" s="51"/>
      <c r="BE30" s="52"/>
      <c r="BF30" s="50"/>
      <c r="BG30" s="51"/>
      <c r="BH30" s="52"/>
      <c r="BI30" s="50"/>
      <c r="BJ30" s="51"/>
      <c r="BK30" s="52"/>
      <c r="BL30" s="50"/>
      <c r="BM30" s="51"/>
      <c r="BN30" s="52"/>
      <c r="BO30" s="50"/>
      <c r="BP30" s="51"/>
      <c r="BQ30" s="52"/>
      <c r="BR30" s="50"/>
      <c r="BS30" s="51"/>
      <c r="BT30" s="52"/>
      <c r="BU30" s="50"/>
      <c r="BV30" s="51"/>
      <c r="BW30" s="52"/>
      <c r="BX30" s="50"/>
      <c r="BY30" s="51"/>
      <c r="BZ30" s="52"/>
      <c r="CA30" s="50"/>
      <c r="CB30" s="51"/>
      <c r="CC30" s="52"/>
      <c r="CD30" s="50"/>
      <c r="CE30" s="51"/>
      <c r="CF30" s="52"/>
      <c r="CG30" s="50"/>
      <c r="CH30" s="51"/>
      <c r="CI30" s="52"/>
      <c r="CJ30" s="50"/>
      <c r="CK30" s="51"/>
      <c r="CL30" s="52"/>
      <c r="CM30" s="50"/>
      <c r="CN30" s="51"/>
      <c r="CO30" s="52"/>
      <c r="CP30" s="50"/>
      <c r="CQ30" s="51"/>
      <c r="CR30" s="52"/>
      <c r="CS30" s="50"/>
      <c r="CT30" s="51"/>
      <c r="CU30" s="52"/>
      <c r="CV30" s="50"/>
      <c r="CW30" s="51"/>
      <c r="CX30" s="52"/>
      <c r="CY30" s="50"/>
      <c r="CZ30" s="51"/>
      <c r="DA30" s="52"/>
      <c r="DB30" s="50"/>
      <c r="DC30" s="51"/>
      <c r="DD30" s="52"/>
      <c r="DE30" s="50"/>
      <c r="DF30" s="51"/>
      <c r="DG30" s="69"/>
      <c r="DH30" s="64">
        <f>SUM(G30:DG30)</f>
        <v>6</v>
      </c>
    </row>
    <row r="31" spans="2:112" x14ac:dyDescent="0.25">
      <c r="B31" s="3" t="s">
        <v>6</v>
      </c>
      <c r="C31" s="11">
        <v>2</v>
      </c>
      <c r="D31" s="16">
        <v>2</v>
      </c>
      <c r="E31" s="4">
        <v>2</v>
      </c>
      <c r="F31" s="17">
        <v>2</v>
      </c>
      <c r="G31" s="15">
        <v>2</v>
      </c>
      <c r="H31" s="2">
        <v>2</v>
      </c>
      <c r="I31" s="33">
        <v>2</v>
      </c>
      <c r="J31" s="39"/>
      <c r="K31" s="14"/>
      <c r="L31" s="40"/>
      <c r="M31" s="39"/>
      <c r="N31" s="14"/>
      <c r="O31" s="40"/>
      <c r="P31" s="39"/>
      <c r="Q31" s="14"/>
      <c r="R31" s="40"/>
      <c r="S31" s="39"/>
      <c r="T31" s="14"/>
      <c r="U31" s="40"/>
      <c r="V31" s="39"/>
      <c r="W31" s="14"/>
      <c r="X31" s="40"/>
      <c r="Y31" s="50"/>
      <c r="Z31" s="56"/>
      <c r="AA31" s="57"/>
      <c r="AB31" s="39"/>
      <c r="AC31" s="14"/>
      <c r="AD31" s="40"/>
      <c r="AE31" s="44"/>
      <c r="AF31" s="45"/>
      <c r="AG31" s="46"/>
      <c r="AH31" s="44"/>
      <c r="AI31" s="45"/>
      <c r="AJ31" s="46"/>
      <c r="AK31" s="44"/>
      <c r="AL31" s="45"/>
      <c r="AM31" s="46"/>
      <c r="AN31" s="44"/>
      <c r="AO31" s="45"/>
      <c r="AP31" s="46"/>
      <c r="AQ31" s="44"/>
      <c r="AR31" s="45"/>
      <c r="AS31" s="46"/>
      <c r="AT31" s="44"/>
      <c r="AU31" s="45"/>
      <c r="AV31" s="46"/>
      <c r="AW31" s="44"/>
      <c r="AX31" s="45"/>
      <c r="AY31" s="46"/>
      <c r="AZ31" s="50"/>
      <c r="BA31" s="51"/>
      <c r="BB31" s="52"/>
      <c r="BC31" s="50"/>
      <c r="BD31" s="51"/>
      <c r="BE31" s="52"/>
      <c r="BF31" s="50"/>
      <c r="BG31" s="51"/>
      <c r="BH31" s="52"/>
      <c r="BI31" s="50"/>
      <c r="BJ31" s="51"/>
      <c r="BK31" s="52"/>
      <c r="BL31" s="50"/>
      <c r="BM31" s="51"/>
      <c r="BN31" s="52"/>
      <c r="BO31" s="50"/>
      <c r="BP31" s="51"/>
      <c r="BQ31" s="52"/>
      <c r="BR31" s="50"/>
      <c r="BS31" s="51"/>
      <c r="BT31" s="52"/>
      <c r="BU31" s="50"/>
      <c r="BV31" s="51"/>
      <c r="BW31" s="52"/>
      <c r="BX31" s="50"/>
      <c r="BY31" s="51"/>
      <c r="BZ31" s="52"/>
      <c r="CA31" s="50"/>
      <c r="CB31" s="51"/>
      <c r="CC31" s="52"/>
      <c r="CD31" s="50"/>
      <c r="CE31" s="51"/>
      <c r="CF31" s="52"/>
      <c r="CG31" s="50"/>
      <c r="CH31" s="51"/>
      <c r="CI31" s="52"/>
      <c r="CJ31" s="50"/>
      <c r="CK31" s="51"/>
      <c r="CL31" s="52"/>
      <c r="CM31" s="50"/>
      <c r="CN31" s="51"/>
      <c r="CO31" s="52"/>
      <c r="CP31" s="50"/>
      <c r="CQ31" s="51"/>
      <c r="CR31" s="52"/>
      <c r="CS31" s="50"/>
      <c r="CT31" s="51"/>
      <c r="CU31" s="52"/>
      <c r="CV31" s="50"/>
      <c r="CW31" s="51"/>
      <c r="CX31" s="52"/>
      <c r="CY31" s="50"/>
      <c r="CZ31" s="51"/>
      <c r="DA31" s="52"/>
      <c r="DB31" s="50"/>
      <c r="DC31" s="51"/>
      <c r="DD31" s="52"/>
      <c r="DE31" s="50"/>
      <c r="DF31" s="51"/>
      <c r="DG31" s="69"/>
      <c r="DH31" s="64">
        <f t="shared" ref="DH31:DH45" si="4">SUM(G31:DG31)</f>
        <v>6</v>
      </c>
    </row>
    <row r="32" spans="2:112" x14ac:dyDescent="0.25">
      <c r="B32" s="3" t="s">
        <v>7</v>
      </c>
      <c r="C32" s="11">
        <v>2</v>
      </c>
      <c r="D32" s="16">
        <v>2</v>
      </c>
      <c r="E32" s="4">
        <v>2</v>
      </c>
      <c r="F32" s="17">
        <v>2</v>
      </c>
      <c r="G32" s="15"/>
      <c r="H32" s="2"/>
      <c r="I32" s="33"/>
      <c r="J32" s="39">
        <v>2</v>
      </c>
      <c r="K32" s="2">
        <v>2</v>
      </c>
      <c r="L32" s="33">
        <v>2</v>
      </c>
      <c r="M32" s="39"/>
      <c r="N32" s="14"/>
      <c r="O32" s="40"/>
      <c r="P32" s="39"/>
      <c r="Q32" s="14"/>
      <c r="R32" s="40"/>
      <c r="S32" s="39"/>
      <c r="T32" s="14"/>
      <c r="U32" s="40"/>
      <c r="V32" s="39"/>
      <c r="W32" s="14"/>
      <c r="X32" s="40"/>
      <c r="Y32" s="50"/>
      <c r="Z32" s="56"/>
      <c r="AA32" s="57"/>
      <c r="AB32" s="39"/>
      <c r="AC32" s="14"/>
      <c r="AD32" s="40"/>
      <c r="AE32" s="44"/>
      <c r="AF32" s="45"/>
      <c r="AG32" s="46"/>
      <c r="AH32" s="44"/>
      <c r="AI32" s="45"/>
      <c r="AJ32" s="46"/>
      <c r="AK32" s="44"/>
      <c r="AL32" s="45"/>
      <c r="AM32" s="46"/>
      <c r="AN32" s="44"/>
      <c r="AO32" s="45"/>
      <c r="AP32" s="46"/>
      <c r="AQ32" s="44"/>
      <c r="AR32" s="45"/>
      <c r="AS32" s="46"/>
      <c r="AT32" s="44"/>
      <c r="AU32" s="45"/>
      <c r="AV32" s="46"/>
      <c r="AW32" s="44"/>
      <c r="AX32" s="45"/>
      <c r="AY32" s="46"/>
      <c r="AZ32" s="50"/>
      <c r="BA32" s="51"/>
      <c r="BB32" s="52"/>
      <c r="BC32" s="50"/>
      <c r="BD32" s="51"/>
      <c r="BE32" s="52"/>
      <c r="BF32" s="50"/>
      <c r="BG32" s="51"/>
      <c r="BH32" s="52"/>
      <c r="BI32" s="50"/>
      <c r="BJ32" s="51"/>
      <c r="BK32" s="52"/>
      <c r="BL32" s="50"/>
      <c r="BM32" s="51"/>
      <c r="BN32" s="52"/>
      <c r="BO32" s="50"/>
      <c r="BP32" s="51"/>
      <c r="BQ32" s="52"/>
      <c r="BR32" s="50"/>
      <c r="BS32" s="51"/>
      <c r="BT32" s="52"/>
      <c r="BU32" s="50"/>
      <c r="BV32" s="51"/>
      <c r="BW32" s="52"/>
      <c r="BX32" s="50"/>
      <c r="BY32" s="51"/>
      <c r="BZ32" s="52"/>
      <c r="CA32" s="50"/>
      <c r="CB32" s="51"/>
      <c r="CC32" s="52"/>
      <c r="CD32" s="50"/>
      <c r="CE32" s="51"/>
      <c r="CF32" s="52"/>
      <c r="CG32" s="50"/>
      <c r="CH32" s="51"/>
      <c r="CI32" s="52"/>
      <c r="CJ32" s="50"/>
      <c r="CK32" s="51"/>
      <c r="CL32" s="52"/>
      <c r="CM32" s="50"/>
      <c r="CN32" s="51"/>
      <c r="CO32" s="52"/>
      <c r="CP32" s="50"/>
      <c r="CQ32" s="51"/>
      <c r="CR32" s="52"/>
      <c r="CS32" s="50"/>
      <c r="CT32" s="51"/>
      <c r="CU32" s="52"/>
      <c r="CV32" s="50"/>
      <c r="CW32" s="51"/>
      <c r="CX32" s="52"/>
      <c r="CY32" s="50"/>
      <c r="CZ32" s="51"/>
      <c r="DA32" s="52"/>
      <c r="DB32" s="50"/>
      <c r="DC32" s="51"/>
      <c r="DD32" s="52"/>
      <c r="DE32" s="50"/>
      <c r="DF32" s="51"/>
      <c r="DG32" s="69"/>
      <c r="DH32" s="64">
        <f t="shared" si="4"/>
        <v>6</v>
      </c>
    </row>
    <row r="33" spans="2:112" x14ac:dyDescent="0.25">
      <c r="B33" s="3" t="s">
        <v>8</v>
      </c>
      <c r="C33" s="11">
        <v>2</v>
      </c>
      <c r="D33" s="16">
        <v>2</v>
      </c>
      <c r="E33" s="4">
        <v>2</v>
      </c>
      <c r="F33" s="17">
        <v>2</v>
      </c>
      <c r="G33" s="15"/>
      <c r="H33" s="2"/>
      <c r="I33" s="33"/>
      <c r="J33" s="39">
        <v>2</v>
      </c>
      <c r="K33" s="2">
        <v>2</v>
      </c>
      <c r="L33" s="33">
        <v>2</v>
      </c>
      <c r="M33" s="39"/>
      <c r="N33" s="14"/>
      <c r="O33" s="40"/>
      <c r="P33" s="39"/>
      <c r="Q33" s="14"/>
      <c r="R33" s="40"/>
      <c r="S33" s="39"/>
      <c r="T33" s="14"/>
      <c r="U33" s="40"/>
      <c r="V33" s="39"/>
      <c r="W33" s="14"/>
      <c r="X33" s="40"/>
      <c r="Y33" s="50"/>
      <c r="Z33" s="56"/>
      <c r="AA33" s="57"/>
      <c r="AB33" s="39"/>
      <c r="AC33" s="14"/>
      <c r="AD33" s="40"/>
      <c r="AE33" s="44"/>
      <c r="AF33" s="45"/>
      <c r="AG33" s="46"/>
      <c r="AH33" s="44"/>
      <c r="AI33" s="45"/>
      <c r="AJ33" s="46"/>
      <c r="AK33" s="44"/>
      <c r="AL33" s="45"/>
      <c r="AM33" s="46"/>
      <c r="AN33" s="44"/>
      <c r="AO33" s="45"/>
      <c r="AP33" s="46"/>
      <c r="AQ33" s="44"/>
      <c r="AR33" s="45"/>
      <c r="AS33" s="46"/>
      <c r="AT33" s="44"/>
      <c r="AU33" s="45"/>
      <c r="AV33" s="46"/>
      <c r="AW33" s="44"/>
      <c r="AX33" s="45"/>
      <c r="AY33" s="46"/>
      <c r="AZ33" s="50"/>
      <c r="BA33" s="51"/>
      <c r="BB33" s="52"/>
      <c r="BC33" s="50"/>
      <c r="BD33" s="51"/>
      <c r="BE33" s="52"/>
      <c r="BF33" s="50"/>
      <c r="BG33" s="51"/>
      <c r="BH33" s="52"/>
      <c r="BI33" s="50"/>
      <c r="BJ33" s="51"/>
      <c r="BK33" s="52"/>
      <c r="BL33" s="50"/>
      <c r="BM33" s="51"/>
      <c r="BN33" s="52"/>
      <c r="BO33" s="50"/>
      <c r="BP33" s="51"/>
      <c r="BQ33" s="52"/>
      <c r="BR33" s="50"/>
      <c r="BS33" s="51"/>
      <c r="BT33" s="52"/>
      <c r="BU33" s="50"/>
      <c r="BV33" s="51"/>
      <c r="BW33" s="52"/>
      <c r="BX33" s="50"/>
      <c r="BY33" s="51"/>
      <c r="BZ33" s="52"/>
      <c r="CA33" s="50"/>
      <c r="CB33" s="51"/>
      <c r="CC33" s="52"/>
      <c r="CD33" s="50"/>
      <c r="CE33" s="51"/>
      <c r="CF33" s="52"/>
      <c r="CG33" s="50"/>
      <c r="CH33" s="51"/>
      <c r="CI33" s="52"/>
      <c r="CJ33" s="50"/>
      <c r="CK33" s="51"/>
      <c r="CL33" s="52"/>
      <c r="CM33" s="50"/>
      <c r="CN33" s="51"/>
      <c r="CO33" s="52"/>
      <c r="CP33" s="50"/>
      <c r="CQ33" s="51"/>
      <c r="CR33" s="52"/>
      <c r="CS33" s="50"/>
      <c r="CT33" s="51"/>
      <c r="CU33" s="52"/>
      <c r="CV33" s="50"/>
      <c r="CW33" s="51"/>
      <c r="CX33" s="52"/>
      <c r="CY33" s="50"/>
      <c r="CZ33" s="51"/>
      <c r="DA33" s="52"/>
      <c r="DB33" s="50"/>
      <c r="DC33" s="51"/>
      <c r="DD33" s="52"/>
      <c r="DE33" s="50"/>
      <c r="DF33" s="51"/>
      <c r="DG33" s="69"/>
      <c r="DH33" s="64">
        <f t="shared" si="4"/>
        <v>6</v>
      </c>
    </row>
    <row r="34" spans="2:112" x14ac:dyDescent="0.25">
      <c r="B34" s="3" t="s">
        <v>9</v>
      </c>
      <c r="C34" s="11">
        <v>2</v>
      </c>
      <c r="D34" s="16">
        <v>2</v>
      </c>
      <c r="E34" s="4">
        <v>2</v>
      </c>
      <c r="F34" s="17">
        <v>2</v>
      </c>
      <c r="G34" s="15"/>
      <c r="H34" s="2"/>
      <c r="I34" s="33"/>
      <c r="J34" s="39"/>
      <c r="K34" s="14"/>
      <c r="L34" s="40"/>
      <c r="M34" s="39">
        <v>2</v>
      </c>
      <c r="N34" s="14">
        <v>2</v>
      </c>
      <c r="O34" s="40">
        <v>2</v>
      </c>
      <c r="P34" s="39"/>
      <c r="Q34" s="14"/>
      <c r="R34" s="40"/>
      <c r="S34" s="39"/>
      <c r="T34" s="14"/>
      <c r="U34" s="40"/>
      <c r="V34" s="39"/>
      <c r="W34" s="14"/>
      <c r="X34" s="40"/>
      <c r="Y34" s="50"/>
      <c r="Z34" s="56"/>
      <c r="AA34" s="57"/>
      <c r="AB34" s="39"/>
      <c r="AC34" s="14"/>
      <c r="AD34" s="40"/>
      <c r="AE34" s="44"/>
      <c r="AF34" s="45"/>
      <c r="AG34" s="46"/>
      <c r="AH34" s="44"/>
      <c r="AI34" s="45"/>
      <c r="AJ34" s="46"/>
      <c r="AK34" s="44"/>
      <c r="AL34" s="45"/>
      <c r="AM34" s="46"/>
      <c r="AN34" s="44"/>
      <c r="AO34" s="45"/>
      <c r="AP34" s="46"/>
      <c r="AQ34" s="44"/>
      <c r="AR34" s="45"/>
      <c r="AS34" s="46"/>
      <c r="AT34" s="44"/>
      <c r="AU34" s="45"/>
      <c r="AV34" s="46"/>
      <c r="AW34" s="44"/>
      <c r="AX34" s="45"/>
      <c r="AY34" s="46"/>
      <c r="AZ34" s="50"/>
      <c r="BA34" s="51"/>
      <c r="BB34" s="52"/>
      <c r="BC34" s="50"/>
      <c r="BD34" s="51"/>
      <c r="BE34" s="52"/>
      <c r="BF34" s="50"/>
      <c r="BG34" s="51"/>
      <c r="BH34" s="52"/>
      <c r="BI34" s="50"/>
      <c r="BJ34" s="51"/>
      <c r="BK34" s="52"/>
      <c r="BL34" s="50"/>
      <c r="BM34" s="51"/>
      <c r="BN34" s="52"/>
      <c r="BO34" s="50"/>
      <c r="BP34" s="51"/>
      <c r="BQ34" s="52"/>
      <c r="BR34" s="50"/>
      <c r="BS34" s="51"/>
      <c r="BT34" s="52"/>
      <c r="BU34" s="50"/>
      <c r="BV34" s="51"/>
      <c r="BW34" s="52"/>
      <c r="BX34" s="50"/>
      <c r="BY34" s="51"/>
      <c r="BZ34" s="52"/>
      <c r="CA34" s="50"/>
      <c r="CB34" s="51"/>
      <c r="CC34" s="52"/>
      <c r="CD34" s="50"/>
      <c r="CE34" s="51"/>
      <c r="CF34" s="52"/>
      <c r="CG34" s="50"/>
      <c r="CH34" s="51"/>
      <c r="CI34" s="52"/>
      <c r="CJ34" s="50"/>
      <c r="CK34" s="51"/>
      <c r="CL34" s="52"/>
      <c r="CM34" s="50"/>
      <c r="CN34" s="51"/>
      <c r="CO34" s="52"/>
      <c r="CP34" s="50"/>
      <c r="CQ34" s="51"/>
      <c r="CR34" s="52"/>
      <c r="CS34" s="50"/>
      <c r="CT34" s="51"/>
      <c r="CU34" s="52"/>
      <c r="CV34" s="50"/>
      <c r="CW34" s="51"/>
      <c r="CX34" s="52"/>
      <c r="CY34" s="50"/>
      <c r="CZ34" s="51"/>
      <c r="DA34" s="52"/>
      <c r="DB34" s="50"/>
      <c r="DC34" s="51"/>
      <c r="DD34" s="52"/>
      <c r="DE34" s="50"/>
      <c r="DF34" s="51"/>
      <c r="DG34" s="69"/>
      <c r="DH34" s="64">
        <f t="shared" si="4"/>
        <v>6</v>
      </c>
    </row>
    <row r="35" spans="2:112" x14ac:dyDescent="0.25">
      <c r="B35" s="3" t="s">
        <v>10</v>
      </c>
      <c r="C35" s="11">
        <v>2</v>
      </c>
      <c r="D35" s="16">
        <v>2</v>
      </c>
      <c r="E35" s="4">
        <v>2</v>
      </c>
      <c r="F35" s="17">
        <v>2</v>
      </c>
      <c r="G35" s="15"/>
      <c r="H35" s="2"/>
      <c r="I35" s="33"/>
      <c r="J35" s="39"/>
      <c r="K35" s="14"/>
      <c r="L35" s="40"/>
      <c r="M35" s="39">
        <v>2</v>
      </c>
      <c r="N35" s="14">
        <v>2</v>
      </c>
      <c r="O35" s="40">
        <v>2</v>
      </c>
      <c r="P35" s="39"/>
      <c r="Q35" s="14"/>
      <c r="R35" s="40"/>
      <c r="S35" s="39"/>
      <c r="T35" s="14"/>
      <c r="U35" s="40"/>
      <c r="V35" s="39"/>
      <c r="W35" s="14"/>
      <c r="X35" s="40"/>
      <c r="Y35" s="50"/>
      <c r="Z35" s="56"/>
      <c r="AA35" s="57"/>
      <c r="AB35" s="39"/>
      <c r="AC35" s="14"/>
      <c r="AD35" s="40"/>
      <c r="AE35" s="44"/>
      <c r="AF35" s="45"/>
      <c r="AG35" s="46"/>
      <c r="AH35" s="44"/>
      <c r="AI35" s="45"/>
      <c r="AJ35" s="46"/>
      <c r="AK35" s="44"/>
      <c r="AL35" s="45"/>
      <c r="AM35" s="46"/>
      <c r="AN35" s="44"/>
      <c r="AO35" s="45"/>
      <c r="AP35" s="46"/>
      <c r="AQ35" s="44"/>
      <c r="AR35" s="45"/>
      <c r="AS35" s="46"/>
      <c r="AT35" s="44"/>
      <c r="AU35" s="45"/>
      <c r="AV35" s="46"/>
      <c r="AW35" s="44"/>
      <c r="AX35" s="45"/>
      <c r="AY35" s="46"/>
      <c r="AZ35" s="50"/>
      <c r="BA35" s="51"/>
      <c r="BB35" s="52"/>
      <c r="BC35" s="50"/>
      <c r="BD35" s="51"/>
      <c r="BE35" s="52"/>
      <c r="BF35" s="50"/>
      <c r="BG35" s="51"/>
      <c r="BH35" s="52"/>
      <c r="BI35" s="50"/>
      <c r="BJ35" s="51"/>
      <c r="BK35" s="52"/>
      <c r="BL35" s="50"/>
      <c r="BM35" s="51"/>
      <c r="BN35" s="52"/>
      <c r="BO35" s="50"/>
      <c r="BP35" s="51"/>
      <c r="BQ35" s="52"/>
      <c r="BR35" s="50"/>
      <c r="BS35" s="51"/>
      <c r="BT35" s="52"/>
      <c r="BU35" s="50"/>
      <c r="BV35" s="51"/>
      <c r="BW35" s="52"/>
      <c r="BX35" s="50"/>
      <c r="BY35" s="51"/>
      <c r="BZ35" s="52"/>
      <c r="CA35" s="50"/>
      <c r="CB35" s="51"/>
      <c r="CC35" s="52"/>
      <c r="CD35" s="50"/>
      <c r="CE35" s="51"/>
      <c r="CF35" s="52"/>
      <c r="CG35" s="50"/>
      <c r="CH35" s="51"/>
      <c r="CI35" s="52"/>
      <c r="CJ35" s="50"/>
      <c r="CK35" s="51"/>
      <c r="CL35" s="52"/>
      <c r="CM35" s="50"/>
      <c r="CN35" s="51"/>
      <c r="CO35" s="52"/>
      <c r="CP35" s="50"/>
      <c r="CQ35" s="51"/>
      <c r="CR35" s="52"/>
      <c r="CS35" s="50"/>
      <c r="CT35" s="51"/>
      <c r="CU35" s="52"/>
      <c r="CV35" s="50"/>
      <c r="CW35" s="51"/>
      <c r="CX35" s="52"/>
      <c r="CY35" s="50"/>
      <c r="CZ35" s="51"/>
      <c r="DA35" s="52"/>
      <c r="DB35" s="50"/>
      <c r="DC35" s="51"/>
      <c r="DD35" s="52"/>
      <c r="DE35" s="50"/>
      <c r="DF35" s="51"/>
      <c r="DG35" s="69"/>
      <c r="DH35" s="64">
        <f t="shared" si="4"/>
        <v>6</v>
      </c>
    </row>
    <row r="36" spans="2:112" x14ac:dyDescent="0.25">
      <c r="B36" s="3" t="s">
        <v>11</v>
      </c>
      <c r="C36" s="11">
        <v>2</v>
      </c>
      <c r="D36" s="16">
        <v>2</v>
      </c>
      <c r="E36" s="4">
        <v>2</v>
      </c>
      <c r="F36" s="17">
        <v>2</v>
      </c>
      <c r="G36" s="15"/>
      <c r="H36" s="2"/>
      <c r="I36" s="33"/>
      <c r="J36" s="39"/>
      <c r="K36" s="14"/>
      <c r="L36" s="40"/>
      <c r="M36" s="39"/>
      <c r="N36" s="14"/>
      <c r="O36" s="40"/>
      <c r="P36" s="39">
        <v>2</v>
      </c>
      <c r="Q36" s="14">
        <v>2</v>
      </c>
      <c r="R36" s="40">
        <v>2</v>
      </c>
      <c r="S36" s="39"/>
      <c r="T36" s="14"/>
      <c r="U36" s="40"/>
      <c r="V36" s="39"/>
      <c r="W36" s="14"/>
      <c r="X36" s="40"/>
      <c r="Y36" s="50"/>
      <c r="Z36" s="56"/>
      <c r="AA36" s="57"/>
      <c r="AB36" s="39"/>
      <c r="AC36" s="14"/>
      <c r="AD36" s="40"/>
      <c r="AE36" s="44"/>
      <c r="AF36" s="45"/>
      <c r="AG36" s="46"/>
      <c r="AH36" s="44"/>
      <c r="AI36" s="45"/>
      <c r="AJ36" s="46"/>
      <c r="AK36" s="44"/>
      <c r="AL36" s="45"/>
      <c r="AM36" s="46"/>
      <c r="AN36" s="44"/>
      <c r="AO36" s="45"/>
      <c r="AP36" s="46"/>
      <c r="AQ36" s="44"/>
      <c r="AR36" s="45"/>
      <c r="AS36" s="46"/>
      <c r="AT36" s="44"/>
      <c r="AU36" s="45"/>
      <c r="AV36" s="46"/>
      <c r="AW36" s="44"/>
      <c r="AX36" s="45"/>
      <c r="AY36" s="46"/>
      <c r="AZ36" s="50"/>
      <c r="BA36" s="51"/>
      <c r="BB36" s="52"/>
      <c r="BC36" s="50"/>
      <c r="BD36" s="51"/>
      <c r="BE36" s="52"/>
      <c r="BF36" s="50"/>
      <c r="BG36" s="51"/>
      <c r="BH36" s="52"/>
      <c r="BI36" s="50"/>
      <c r="BJ36" s="51"/>
      <c r="BK36" s="52"/>
      <c r="BL36" s="50"/>
      <c r="BM36" s="51"/>
      <c r="BN36" s="52"/>
      <c r="BO36" s="50"/>
      <c r="BP36" s="51"/>
      <c r="BQ36" s="52"/>
      <c r="BR36" s="50"/>
      <c r="BS36" s="51"/>
      <c r="BT36" s="52"/>
      <c r="BU36" s="50"/>
      <c r="BV36" s="51"/>
      <c r="BW36" s="52"/>
      <c r="BX36" s="50"/>
      <c r="BY36" s="51"/>
      <c r="BZ36" s="52"/>
      <c r="CA36" s="50"/>
      <c r="CB36" s="51"/>
      <c r="CC36" s="52"/>
      <c r="CD36" s="50"/>
      <c r="CE36" s="51"/>
      <c r="CF36" s="52"/>
      <c r="CG36" s="50"/>
      <c r="CH36" s="51"/>
      <c r="CI36" s="52"/>
      <c r="CJ36" s="50"/>
      <c r="CK36" s="51"/>
      <c r="CL36" s="52"/>
      <c r="CM36" s="50"/>
      <c r="CN36" s="51"/>
      <c r="CO36" s="52"/>
      <c r="CP36" s="50"/>
      <c r="CQ36" s="51"/>
      <c r="CR36" s="52"/>
      <c r="CS36" s="50"/>
      <c r="CT36" s="51"/>
      <c r="CU36" s="52"/>
      <c r="CV36" s="50"/>
      <c r="CW36" s="51"/>
      <c r="CX36" s="52"/>
      <c r="CY36" s="50"/>
      <c r="CZ36" s="51"/>
      <c r="DA36" s="52"/>
      <c r="DB36" s="50"/>
      <c r="DC36" s="51"/>
      <c r="DD36" s="52"/>
      <c r="DE36" s="50"/>
      <c r="DF36" s="51"/>
      <c r="DG36" s="69"/>
      <c r="DH36" s="64">
        <f t="shared" si="4"/>
        <v>6</v>
      </c>
    </row>
    <row r="37" spans="2:112" x14ac:dyDescent="0.25">
      <c r="B37" s="3" t="s">
        <v>12</v>
      </c>
      <c r="C37" s="11">
        <v>2</v>
      </c>
      <c r="D37" s="16">
        <v>2</v>
      </c>
      <c r="E37" s="4">
        <v>2</v>
      </c>
      <c r="F37" s="17">
        <v>2</v>
      </c>
      <c r="G37" s="15"/>
      <c r="H37" s="2"/>
      <c r="I37" s="33"/>
      <c r="J37" s="39"/>
      <c r="K37" s="14"/>
      <c r="L37" s="40"/>
      <c r="M37" s="39"/>
      <c r="N37" s="14"/>
      <c r="O37" s="40"/>
      <c r="P37" s="39"/>
      <c r="Q37" s="14"/>
      <c r="R37" s="40"/>
      <c r="S37" s="39"/>
      <c r="T37" s="14"/>
      <c r="U37" s="40"/>
      <c r="V37" s="39"/>
      <c r="W37" s="14"/>
      <c r="X37" s="40"/>
      <c r="Y37" s="50"/>
      <c r="Z37" s="56"/>
      <c r="AA37" s="57"/>
      <c r="AB37" s="39"/>
      <c r="AC37" s="14"/>
      <c r="AD37" s="40"/>
      <c r="AE37" s="44"/>
      <c r="AF37" s="45"/>
      <c r="AG37" s="46"/>
      <c r="AH37" s="44"/>
      <c r="AI37" s="45"/>
      <c r="AJ37" s="46"/>
      <c r="AK37" s="44"/>
      <c r="AL37" s="45"/>
      <c r="AM37" s="46"/>
      <c r="AN37" s="44"/>
      <c r="AO37" s="45"/>
      <c r="AP37" s="46"/>
      <c r="AQ37" s="44"/>
      <c r="AR37" s="45"/>
      <c r="AS37" s="46"/>
      <c r="AT37" s="44"/>
      <c r="AU37" s="45"/>
      <c r="AV37" s="46"/>
      <c r="AW37" s="44"/>
      <c r="AX37" s="45"/>
      <c r="AY37" s="46"/>
      <c r="AZ37" s="50">
        <v>2</v>
      </c>
      <c r="BA37" s="51">
        <v>2</v>
      </c>
      <c r="BB37" s="52">
        <v>2</v>
      </c>
      <c r="BC37" s="50"/>
      <c r="BD37" s="51"/>
      <c r="BE37" s="52"/>
      <c r="BF37" s="50"/>
      <c r="BG37" s="51"/>
      <c r="BH37" s="52"/>
      <c r="BI37" s="50"/>
      <c r="BJ37" s="51"/>
      <c r="BK37" s="52"/>
      <c r="BL37" s="50"/>
      <c r="BM37" s="51"/>
      <c r="BN37" s="52"/>
      <c r="BO37" s="50"/>
      <c r="BP37" s="51"/>
      <c r="BQ37" s="52"/>
      <c r="BR37" s="50"/>
      <c r="BS37" s="51"/>
      <c r="BT37" s="52"/>
      <c r="BU37" s="50"/>
      <c r="BV37" s="51"/>
      <c r="BW37" s="52"/>
      <c r="BX37" s="50"/>
      <c r="BY37" s="51"/>
      <c r="BZ37" s="52"/>
      <c r="CA37" s="50"/>
      <c r="CB37" s="51"/>
      <c r="CC37" s="52"/>
      <c r="CD37" s="50"/>
      <c r="CE37" s="51"/>
      <c r="CF37" s="52"/>
      <c r="CG37" s="50"/>
      <c r="CH37" s="51"/>
      <c r="CI37" s="52"/>
      <c r="CJ37" s="50"/>
      <c r="CK37" s="51"/>
      <c r="CL37" s="52"/>
      <c r="CM37" s="50"/>
      <c r="CN37" s="51"/>
      <c r="CO37" s="52"/>
      <c r="CP37" s="50"/>
      <c r="CQ37" s="51"/>
      <c r="CR37" s="52"/>
      <c r="CS37" s="50"/>
      <c r="CT37" s="51"/>
      <c r="CU37" s="52"/>
      <c r="CV37" s="50"/>
      <c r="CW37" s="51"/>
      <c r="CX37" s="52"/>
      <c r="CY37" s="50"/>
      <c r="CZ37" s="51"/>
      <c r="DA37" s="52"/>
      <c r="DB37" s="50"/>
      <c r="DC37" s="51"/>
      <c r="DD37" s="52"/>
      <c r="DE37" s="50"/>
      <c r="DF37" s="51"/>
      <c r="DG37" s="69"/>
      <c r="DH37" s="64">
        <f t="shared" si="4"/>
        <v>6</v>
      </c>
    </row>
    <row r="38" spans="2:112" x14ac:dyDescent="0.25">
      <c r="B38" s="3" t="s">
        <v>13</v>
      </c>
      <c r="C38" s="11">
        <v>2</v>
      </c>
      <c r="D38" s="16">
        <v>2</v>
      </c>
      <c r="E38" s="4">
        <v>2</v>
      </c>
      <c r="F38" s="17">
        <v>2</v>
      </c>
      <c r="G38" s="15"/>
      <c r="H38" s="2"/>
      <c r="I38" s="33"/>
      <c r="J38" s="39"/>
      <c r="K38" s="14"/>
      <c r="L38" s="40"/>
      <c r="M38" s="39"/>
      <c r="N38" s="14"/>
      <c r="O38" s="40"/>
      <c r="P38" s="39"/>
      <c r="Q38" s="14"/>
      <c r="R38" s="40"/>
      <c r="S38" s="39"/>
      <c r="T38" s="14"/>
      <c r="U38" s="40"/>
      <c r="V38" s="39"/>
      <c r="W38" s="14"/>
      <c r="X38" s="40"/>
      <c r="Y38" s="50"/>
      <c r="Z38" s="56"/>
      <c r="AA38" s="57"/>
      <c r="AB38" s="39"/>
      <c r="AC38" s="14"/>
      <c r="AD38" s="40"/>
      <c r="AE38" s="44"/>
      <c r="AF38" s="45"/>
      <c r="AG38" s="46"/>
      <c r="AH38" s="44"/>
      <c r="AI38" s="45"/>
      <c r="AJ38" s="46"/>
      <c r="AK38" s="44"/>
      <c r="AL38" s="45"/>
      <c r="AM38" s="46"/>
      <c r="AN38" s="44"/>
      <c r="AO38" s="45"/>
      <c r="AP38" s="46"/>
      <c r="AQ38" s="44"/>
      <c r="AR38" s="45"/>
      <c r="AS38" s="46"/>
      <c r="AT38" s="44"/>
      <c r="AU38" s="45"/>
      <c r="AV38" s="46"/>
      <c r="AW38" s="44"/>
      <c r="AX38" s="45"/>
      <c r="AY38" s="46"/>
      <c r="AZ38" s="50">
        <v>2</v>
      </c>
      <c r="BA38" s="51">
        <v>2</v>
      </c>
      <c r="BB38" s="52">
        <v>2</v>
      </c>
      <c r="BC38" s="50"/>
      <c r="BD38" s="51"/>
      <c r="BE38" s="52"/>
      <c r="BF38" s="50"/>
      <c r="BG38" s="51"/>
      <c r="BH38" s="52"/>
      <c r="BI38" s="50"/>
      <c r="BJ38" s="51"/>
      <c r="BK38" s="52"/>
      <c r="BL38" s="50"/>
      <c r="BM38" s="51"/>
      <c r="BN38" s="52"/>
      <c r="BO38" s="50"/>
      <c r="BP38" s="51"/>
      <c r="BQ38" s="52"/>
      <c r="BR38" s="50"/>
      <c r="BS38" s="51"/>
      <c r="BT38" s="52"/>
      <c r="BU38" s="50"/>
      <c r="BV38" s="51"/>
      <c r="BW38" s="52"/>
      <c r="BX38" s="50"/>
      <c r="BY38" s="51"/>
      <c r="BZ38" s="52"/>
      <c r="CA38" s="50"/>
      <c r="CB38" s="51"/>
      <c r="CC38" s="52"/>
      <c r="CD38" s="50"/>
      <c r="CE38" s="51"/>
      <c r="CF38" s="52"/>
      <c r="CG38" s="50"/>
      <c r="CH38" s="51"/>
      <c r="CI38" s="52"/>
      <c r="CJ38" s="50"/>
      <c r="CK38" s="51"/>
      <c r="CL38" s="52"/>
      <c r="CM38" s="50"/>
      <c r="CN38" s="51"/>
      <c r="CO38" s="52"/>
      <c r="CP38" s="50"/>
      <c r="CQ38" s="51"/>
      <c r="CR38" s="52"/>
      <c r="CS38" s="50"/>
      <c r="CT38" s="51"/>
      <c r="CU38" s="52"/>
      <c r="CV38" s="50"/>
      <c r="CW38" s="51"/>
      <c r="CX38" s="52"/>
      <c r="CY38" s="50"/>
      <c r="CZ38" s="51"/>
      <c r="DA38" s="52"/>
      <c r="DB38" s="50"/>
      <c r="DC38" s="51"/>
      <c r="DD38" s="52"/>
      <c r="DE38" s="50"/>
      <c r="DF38" s="51"/>
      <c r="DG38" s="69"/>
      <c r="DH38" s="64">
        <f t="shared" si="4"/>
        <v>6</v>
      </c>
    </row>
    <row r="39" spans="2:112" x14ac:dyDescent="0.25">
      <c r="B39" s="3" t="s">
        <v>14</v>
      </c>
      <c r="C39" s="11">
        <v>2</v>
      </c>
      <c r="D39" s="16">
        <v>2</v>
      </c>
      <c r="E39" s="4">
        <v>2</v>
      </c>
      <c r="F39" s="17">
        <v>2</v>
      </c>
      <c r="G39" s="15"/>
      <c r="H39" s="2"/>
      <c r="I39" s="33"/>
      <c r="J39" s="39"/>
      <c r="K39" s="14"/>
      <c r="L39" s="40"/>
      <c r="M39" s="39"/>
      <c r="N39" s="14"/>
      <c r="O39" s="40"/>
      <c r="P39" s="39"/>
      <c r="Q39" s="14"/>
      <c r="R39" s="40"/>
      <c r="S39" s="39"/>
      <c r="T39" s="14"/>
      <c r="U39" s="40"/>
      <c r="V39" s="39"/>
      <c r="W39" s="14"/>
      <c r="X39" s="40"/>
      <c r="Y39" s="50"/>
      <c r="Z39" s="56"/>
      <c r="AA39" s="57"/>
      <c r="AB39" s="39"/>
      <c r="AC39" s="14"/>
      <c r="AD39" s="40"/>
      <c r="AE39" s="44"/>
      <c r="AF39" s="45"/>
      <c r="AG39" s="46"/>
      <c r="AH39" s="44"/>
      <c r="AI39" s="45"/>
      <c r="AJ39" s="46"/>
      <c r="AK39" s="44"/>
      <c r="AL39" s="45"/>
      <c r="AM39" s="46"/>
      <c r="AN39" s="44"/>
      <c r="AO39" s="45"/>
      <c r="AP39" s="46"/>
      <c r="AQ39" s="44"/>
      <c r="AR39" s="45"/>
      <c r="AS39" s="46"/>
      <c r="AT39" s="44"/>
      <c r="AU39" s="45"/>
      <c r="AV39" s="46"/>
      <c r="AW39" s="44"/>
      <c r="AX39" s="45"/>
      <c r="AY39" s="46"/>
      <c r="AZ39" s="50"/>
      <c r="BA39" s="51"/>
      <c r="BB39" s="52"/>
      <c r="BC39" s="50">
        <v>2</v>
      </c>
      <c r="BD39" s="51">
        <v>2</v>
      </c>
      <c r="BE39" s="52">
        <v>2</v>
      </c>
      <c r="BF39" s="50"/>
      <c r="BG39" s="51"/>
      <c r="BH39" s="52"/>
      <c r="BI39" s="50"/>
      <c r="BJ39" s="51"/>
      <c r="BK39" s="52"/>
      <c r="BL39" s="50"/>
      <c r="BM39" s="51"/>
      <c r="BN39" s="52"/>
      <c r="BO39" s="50"/>
      <c r="BP39" s="51"/>
      <c r="BQ39" s="52"/>
      <c r="BR39" s="50"/>
      <c r="BS39" s="51"/>
      <c r="BT39" s="52"/>
      <c r="BU39" s="50"/>
      <c r="BV39" s="51"/>
      <c r="BW39" s="52"/>
      <c r="BX39" s="50"/>
      <c r="BY39" s="51"/>
      <c r="BZ39" s="52"/>
      <c r="CA39" s="50"/>
      <c r="CB39" s="51"/>
      <c r="CC39" s="52"/>
      <c r="CD39" s="50"/>
      <c r="CE39" s="51"/>
      <c r="CF39" s="52"/>
      <c r="CG39" s="50"/>
      <c r="CH39" s="51"/>
      <c r="CI39" s="52"/>
      <c r="CJ39" s="50"/>
      <c r="CK39" s="51"/>
      <c r="CL39" s="52"/>
      <c r="CM39" s="50"/>
      <c r="CN39" s="51"/>
      <c r="CO39" s="52"/>
      <c r="CP39" s="50"/>
      <c r="CQ39" s="51"/>
      <c r="CR39" s="52"/>
      <c r="CS39" s="50"/>
      <c r="CT39" s="51"/>
      <c r="CU39" s="52"/>
      <c r="CV39" s="50"/>
      <c r="CW39" s="51"/>
      <c r="CX39" s="52"/>
      <c r="CY39" s="50"/>
      <c r="CZ39" s="51"/>
      <c r="DA39" s="52"/>
      <c r="DB39" s="50"/>
      <c r="DC39" s="51"/>
      <c r="DD39" s="52"/>
      <c r="DE39" s="50"/>
      <c r="DF39" s="51"/>
      <c r="DG39" s="69"/>
      <c r="DH39" s="64">
        <f t="shared" si="4"/>
        <v>6</v>
      </c>
    </row>
    <row r="40" spans="2:112" x14ac:dyDescent="0.25">
      <c r="B40" s="3" t="s">
        <v>15</v>
      </c>
      <c r="C40" s="11">
        <v>2</v>
      </c>
      <c r="D40" s="16">
        <v>2</v>
      </c>
      <c r="E40" s="4">
        <v>2</v>
      </c>
      <c r="F40" s="17">
        <v>2</v>
      </c>
      <c r="G40" s="15"/>
      <c r="H40" s="2"/>
      <c r="I40" s="33"/>
      <c r="J40" s="39"/>
      <c r="K40" s="14"/>
      <c r="L40" s="40"/>
      <c r="M40" s="39"/>
      <c r="N40" s="14"/>
      <c r="O40" s="40"/>
      <c r="P40" s="39"/>
      <c r="Q40" s="14"/>
      <c r="R40" s="40"/>
      <c r="S40" s="39"/>
      <c r="T40" s="14"/>
      <c r="U40" s="40"/>
      <c r="V40" s="39"/>
      <c r="W40" s="14"/>
      <c r="X40" s="40"/>
      <c r="Y40" s="50"/>
      <c r="Z40" s="56"/>
      <c r="AA40" s="57"/>
      <c r="AB40" s="39"/>
      <c r="AC40" s="14"/>
      <c r="AD40" s="40"/>
      <c r="AE40" s="44"/>
      <c r="AF40" s="45"/>
      <c r="AG40" s="46"/>
      <c r="AH40" s="44"/>
      <c r="AI40" s="45"/>
      <c r="AJ40" s="46"/>
      <c r="AK40" s="44"/>
      <c r="AL40" s="45"/>
      <c r="AM40" s="46"/>
      <c r="AN40" s="44"/>
      <c r="AO40" s="45"/>
      <c r="AP40" s="46"/>
      <c r="AQ40" s="44"/>
      <c r="AR40" s="45"/>
      <c r="AS40" s="46"/>
      <c r="AT40" s="44"/>
      <c r="AU40" s="45"/>
      <c r="AV40" s="46"/>
      <c r="AW40" s="44"/>
      <c r="AX40" s="45"/>
      <c r="AY40" s="46"/>
      <c r="AZ40" s="50"/>
      <c r="BA40" s="51"/>
      <c r="BB40" s="52"/>
      <c r="BC40" s="50">
        <v>2</v>
      </c>
      <c r="BD40" s="51">
        <v>2</v>
      </c>
      <c r="BE40" s="52">
        <v>2</v>
      </c>
      <c r="BF40" s="50"/>
      <c r="BG40" s="51"/>
      <c r="BH40" s="52"/>
      <c r="BI40" s="50"/>
      <c r="BJ40" s="51"/>
      <c r="BK40" s="52"/>
      <c r="BL40" s="50"/>
      <c r="BM40" s="51"/>
      <c r="BN40" s="52"/>
      <c r="BO40" s="50"/>
      <c r="BP40" s="51"/>
      <c r="BQ40" s="52"/>
      <c r="BR40" s="50"/>
      <c r="BS40" s="51"/>
      <c r="BT40" s="52"/>
      <c r="BU40" s="50"/>
      <c r="BV40" s="51"/>
      <c r="BW40" s="52"/>
      <c r="BX40" s="50"/>
      <c r="BY40" s="51"/>
      <c r="BZ40" s="52"/>
      <c r="CA40" s="50"/>
      <c r="CB40" s="51"/>
      <c r="CC40" s="52"/>
      <c r="CD40" s="50"/>
      <c r="CE40" s="51"/>
      <c r="CF40" s="52"/>
      <c r="CG40" s="50"/>
      <c r="CH40" s="51"/>
      <c r="CI40" s="52"/>
      <c r="CJ40" s="50"/>
      <c r="CK40" s="51"/>
      <c r="CL40" s="52"/>
      <c r="CM40" s="50"/>
      <c r="CN40" s="51"/>
      <c r="CO40" s="52"/>
      <c r="CP40" s="50"/>
      <c r="CQ40" s="51"/>
      <c r="CR40" s="52"/>
      <c r="CS40" s="50"/>
      <c r="CT40" s="51"/>
      <c r="CU40" s="52"/>
      <c r="CV40" s="50"/>
      <c r="CW40" s="51"/>
      <c r="CX40" s="52"/>
      <c r="CY40" s="50"/>
      <c r="CZ40" s="51"/>
      <c r="DA40" s="52"/>
      <c r="DB40" s="50"/>
      <c r="DC40" s="51"/>
      <c r="DD40" s="52"/>
      <c r="DE40" s="50"/>
      <c r="DF40" s="51"/>
      <c r="DG40" s="69"/>
      <c r="DH40" s="64">
        <f t="shared" si="4"/>
        <v>6</v>
      </c>
    </row>
    <row r="41" spans="2:112" x14ac:dyDescent="0.25">
      <c r="B41" s="3" t="s">
        <v>16</v>
      </c>
      <c r="C41" s="11">
        <v>2</v>
      </c>
      <c r="D41" s="16">
        <v>2</v>
      </c>
      <c r="E41" s="4">
        <v>2</v>
      </c>
      <c r="F41" s="17">
        <v>2</v>
      </c>
      <c r="G41" s="15"/>
      <c r="H41" s="2"/>
      <c r="I41" s="33"/>
      <c r="J41" s="39"/>
      <c r="K41" s="14"/>
      <c r="L41" s="40"/>
      <c r="M41" s="39"/>
      <c r="N41" s="14"/>
      <c r="O41" s="40"/>
      <c r="P41" s="39"/>
      <c r="Q41" s="14"/>
      <c r="R41" s="40"/>
      <c r="S41" s="39"/>
      <c r="T41" s="14"/>
      <c r="U41" s="40"/>
      <c r="V41" s="39"/>
      <c r="W41" s="14"/>
      <c r="X41" s="40"/>
      <c r="Y41" s="50"/>
      <c r="Z41" s="56"/>
      <c r="AA41" s="57"/>
      <c r="AB41" s="39"/>
      <c r="AC41" s="14"/>
      <c r="AD41" s="40"/>
      <c r="AE41" s="44"/>
      <c r="AF41" s="45"/>
      <c r="AG41" s="46"/>
      <c r="AH41" s="44"/>
      <c r="AI41" s="45"/>
      <c r="AJ41" s="46"/>
      <c r="AK41" s="44"/>
      <c r="AL41" s="45"/>
      <c r="AM41" s="46"/>
      <c r="AN41" s="44"/>
      <c r="AO41" s="45"/>
      <c r="AP41" s="46"/>
      <c r="AQ41" s="44"/>
      <c r="AR41" s="45"/>
      <c r="AS41" s="46"/>
      <c r="AT41" s="44"/>
      <c r="AU41" s="45"/>
      <c r="AV41" s="46"/>
      <c r="AW41" s="44"/>
      <c r="AX41" s="45"/>
      <c r="AY41" s="46"/>
      <c r="AZ41" s="50"/>
      <c r="BA41" s="51"/>
      <c r="BB41" s="52"/>
      <c r="BC41" s="50"/>
      <c r="BD41" s="51"/>
      <c r="BE41" s="52"/>
      <c r="BF41" s="50">
        <v>2</v>
      </c>
      <c r="BG41" s="51">
        <v>2</v>
      </c>
      <c r="BH41" s="52">
        <v>2</v>
      </c>
      <c r="BI41" s="50"/>
      <c r="BJ41" s="51"/>
      <c r="BK41" s="52"/>
      <c r="BL41" s="50"/>
      <c r="BM41" s="51"/>
      <c r="BN41" s="52"/>
      <c r="BO41" s="50"/>
      <c r="BP41" s="51"/>
      <c r="BQ41" s="52"/>
      <c r="BR41" s="50"/>
      <c r="BS41" s="51"/>
      <c r="BT41" s="52"/>
      <c r="BU41" s="50"/>
      <c r="BV41" s="51"/>
      <c r="BW41" s="52"/>
      <c r="BX41" s="50"/>
      <c r="BY41" s="51"/>
      <c r="BZ41" s="52"/>
      <c r="CA41" s="50"/>
      <c r="CB41" s="51"/>
      <c r="CC41" s="52"/>
      <c r="CD41" s="50"/>
      <c r="CE41" s="51"/>
      <c r="CF41" s="52"/>
      <c r="CG41" s="50"/>
      <c r="CH41" s="51"/>
      <c r="CI41" s="52"/>
      <c r="CJ41" s="50"/>
      <c r="CK41" s="51"/>
      <c r="CL41" s="52"/>
      <c r="CM41" s="50"/>
      <c r="CN41" s="51"/>
      <c r="CO41" s="52"/>
      <c r="CP41" s="50"/>
      <c r="CQ41" s="51"/>
      <c r="CR41" s="52"/>
      <c r="CS41" s="50"/>
      <c r="CT41" s="51"/>
      <c r="CU41" s="52"/>
      <c r="CV41" s="50"/>
      <c r="CW41" s="51"/>
      <c r="CX41" s="52"/>
      <c r="CY41" s="50"/>
      <c r="CZ41" s="51"/>
      <c r="DA41" s="52"/>
      <c r="DB41" s="50"/>
      <c r="DC41" s="51"/>
      <c r="DD41" s="52"/>
      <c r="DE41" s="50"/>
      <c r="DF41" s="51"/>
      <c r="DG41" s="69"/>
      <c r="DH41" s="64">
        <f t="shared" si="4"/>
        <v>6</v>
      </c>
    </row>
    <row r="42" spans="2:112" x14ac:dyDescent="0.25">
      <c r="B42" s="3" t="s">
        <v>17</v>
      </c>
      <c r="C42" s="11">
        <v>2</v>
      </c>
      <c r="D42" s="16">
        <v>2</v>
      </c>
      <c r="E42" s="4">
        <v>2</v>
      </c>
      <c r="F42" s="17">
        <v>2</v>
      </c>
      <c r="G42" s="15"/>
      <c r="H42" s="2"/>
      <c r="I42" s="33"/>
      <c r="J42" s="39"/>
      <c r="K42" s="14"/>
      <c r="L42" s="40"/>
      <c r="M42" s="39"/>
      <c r="N42" s="14"/>
      <c r="O42" s="40"/>
      <c r="P42" s="39"/>
      <c r="Q42" s="14"/>
      <c r="R42" s="40"/>
      <c r="S42" s="39"/>
      <c r="T42" s="14"/>
      <c r="U42" s="40"/>
      <c r="V42" s="39"/>
      <c r="W42" s="14"/>
      <c r="X42" s="40"/>
      <c r="Y42" s="50"/>
      <c r="Z42" s="56"/>
      <c r="AA42" s="57"/>
      <c r="AB42" s="39"/>
      <c r="AC42" s="14"/>
      <c r="AD42" s="40"/>
      <c r="AE42" s="44"/>
      <c r="AF42" s="45"/>
      <c r="AG42" s="46"/>
      <c r="AH42" s="44"/>
      <c r="AI42" s="45"/>
      <c r="AJ42" s="46"/>
      <c r="AK42" s="44"/>
      <c r="AL42" s="45"/>
      <c r="AM42" s="46"/>
      <c r="AN42" s="44"/>
      <c r="AO42" s="45"/>
      <c r="AP42" s="46"/>
      <c r="AQ42" s="44"/>
      <c r="AR42" s="45"/>
      <c r="AS42" s="46"/>
      <c r="AT42" s="44"/>
      <c r="AU42" s="45"/>
      <c r="AV42" s="46"/>
      <c r="AW42" s="44"/>
      <c r="AX42" s="45"/>
      <c r="AY42" s="46"/>
      <c r="AZ42" s="50"/>
      <c r="BA42" s="51"/>
      <c r="BB42" s="52"/>
      <c r="BC42" s="50"/>
      <c r="BD42" s="51"/>
      <c r="BE42" s="52"/>
      <c r="BF42" s="50">
        <v>2</v>
      </c>
      <c r="BG42" s="51">
        <v>2</v>
      </c>
      <c r="BH42" s="52">
        <v>2</v>
      </c>
      <c r="BI42" s="50"/>
      <c r="BJ42" s="51"/>
      <c r="BK42" s="52"/>
      <c r="BL42" s="50"/>
      <c r="BM42" s="51"/>
      <c r="BN42" s="52"/>
      <c r="BO42" s="50"/>
      <c r="BP42" s="51"/>
      <c r="BQ42" s="52"/>
      <c r="BR42" s="50"/>
      <c r="BS42" s="51"/>
      <c r="BT42" s="52"/>
      <c r="BU42" s="50"/>
      <c r="BV42" s="51"/>
      <c r="BW42" s="52"/>
      <c r="BX42" s="50"/>
      <c r="BY42" s="51"/>
      <c r="BZ42" s="52"/>
      <c r="CA42" s="50"/>
      <c r="CB42" s="51"/>
      <c r="CC42" s="52"/>
      <c r="CD42" s="50"/>
      <c r="CE42" s="51"/>
      <c r="CF42" s="52"/>
      <c r="CG42" s="50"/>
      <c r="CH42" s="51"/>
      <c r="CI42" s="52"/>
      <c r="CJ42" s="50"/>
      <c r="CK42" s="51"/>
      <c r="CL42" s="52"/>
      <c r="CM42" s="50"/>
      <c r="CN42" s="51"/>
      <c r="CO42" s="52"/>
      <c r="CP42" s="50"/>
      <c r="CQ42" s="51"/>
      <c r="CR42" s="52"/>
      <c r="CS42" s="50"/>
      <c r="CT42" s="51"/>
      <c r="CU42" s="52"/>
      <c r="CV42" s="50"/>
      <c r="CW42" s="51"/>
      <c r="CX42" s="52"/>
      <c r="CY42" s="50"/>
      <c r="CZ42" s="51"/>
      <c r="DA42" s="52"/>
      <c r="DB42" s="50"/>
      <c r="DC42" s="51"/>
      <c r="DD42" s="52"/>
      <c r="DE42" s="50"/>
      <c r="DF42" s="51"/>
      <c r="DG42" s="69"/>
      <c r="DH42" s="64">
        <f t="shared" si="4"/>
        <v>6</v>
      </c>
    </row>
    <row r="43" spans="2:112" x14ac:dyDescent="0.25">
      <c r="B43" s="3" t="s">
        <v>18</v>
      </c>
      <c r="C43" s="11">
        <v>2</v>
      </c>
      <c r="D43" s="16">
        <v>2</v>
      </c>
      <c r="E43" s="4">
        <v>2</v>
      </c>
      <c r="F43" s="17">
        <v>2</v>
      </c>
      <c r="G43" s="15"/>
      <c r="H43" s="2"/>
      <c r="I43" s="33"/>
      <c r="J43" s="39"/>
      <c r="K43" s="14"/>
      <c r="L43" s="40"/>
      <c r="M43" s="39"/>
      <c r="N43" s="14"/>
      <c r="O43" s="40"/>
      <c r="P43" s="39"/>
      <c r="Q43" s="14"/>
      <c r="R43" s="40"/>
      <c r="S43" s="39"/>
      <c r="T43" s="14"/>
      <c r="U43" s="40"/>
      <c r="V43" s="39"/>
      <c r="W43" s="14"/>
      <c r="X43" s="40"/>
      <c r="Y43" s="50"/>
      <c r="Z43" s="56"/>
      <c r="AA43" s="57"/>
      <c r="AB43" s="39"/>
      <c r="AC43" s="14"/>
      <c r="AD43" s="40"/>
      <c r="AE43" s="44"/>
      <c r="AF43" s="45"/>
      <c r="AG43" s="46"/>
      <c r="AH43" s="44"/>
      <c r="AI43" s="45"/>
      <c r="AJ43" s="46"/>
      <c r="AK43" s="44"/>
      <c r="AL43" s="45"/>
      <c r="AM43" s="46"/>
      <c r="AN43" s="44"/>
      <c r="AO43" s="45"/>
      <c r="AP43" s="46"/>
      <c r="AQ43" s="44"/>
      <c r="AR43" s="45"/>
      <c r="AS43" s="46"/>
      <c r="AT43" s="44"/>
      <c r="AU43" s="45"/>
      <c r="AV43" s="46"/>
      <c r="AW43" s="44"/>
      <c r="AX43" s="45"/>
      <c r="AY43" s="46"/>
      <c r="AZ43" s="50"/>
      <c r="BA43" s="51"/>
      <c r="BB43" s="52"/>
      <c r="BC43" s="50"/>
      <c r="BD43" s="51"/>
      <c r="BE43" s="52"/>
      <c r="BF43" s="50"/>
      <c r="BG43" s="51"/>
      <c r="BH43" s="52"/>
      <c r="BI43" s="50">
        <v>2</v>
      </c>
      <c r="BJ43" s="51">
        <v>2</v>
      </c>
      <c r="BK43" s="52">
        <v>2</v>
      </c>
      <c r="BL43" s="50"/>
      <c r="BM43" s="51"/>
      <c r="BN43" s="52"/>
      <c r="BO43" s="50"/>
      <c r="BP43" s="51"/>
      <c r="BQ43" s="52"/>
      <c r="BR43" s="50"/>
      <c r="BS43" s="51"/>
      <c r="BT43" s="52"/>
      <c r="BU43" s="50"/>
      <c r="BV43" s="51"/>
      <c r="BW43" s="52"/>
      <c r="BX43" s="50"/>
      <c r="BY43" s="51"/>
      <c r="BZ43" s="52"/>
      <c r="CA43" s="50"/>
      <c r="CB43" s="51"/>
      <c r="CC43" s="52"/>
      <c r="CD43" s="50"/>
      <c r="CE43" s="51"/>
      <c r="CF43" s="52"/>
      <c r="CG43" s="50"/>
      <c r="CH43" s="51"/>
      <c r="CI43" s="52"/>
      <c r="CJ43" s="50"/>
      <c r="CK43" s="51"/>
      <c r="CL43" s="52"/>
      <c r="CM43" s="50"/>
      <c r="CN43" s="51"/>
      <c r="CO43" s="52"/>
      <c r="CP43" s="50"/>
      <c r="CQ43" s="51"/>
      <c r="CR43" s="52"/>
      <c r="CS43" s="50"/>
      <c r="CT43" s="51"/>
      <c r="CU43" s="52"/>
      <c r="CV43" s="50"/>
      <c r="CW43" s="51"/>
      <c r="CX43" s="52"/>
      <c r="CY43" s="50"/>
      <c r="CZ43" s="51"/>
      <c r="DA43" s="52"/>
      <c r="DB43" s="50"/>
      <c r="DC43" s="51"/>
      <c r="DD43" s="52"/>
      <c r="DE43" s="50"/>
      <c r="DF43" s="51"/>
      <c r="DG43" s="69"/>
      <c r="DH43" s="64">
        <f t="shared" si="4"/>
        <v>6</v>
      </c>
    </row>
    <row r="44" spans="2:112" x14ac:dyDescent="0.25">
      <c r="B44" s="3" t="s">
        <v>19</v>
      </c>
      <c r="C44" s="11">
        <v>2</v>
      </c>
      <c r="D44" s="16">
        <v>2</v>
      </c>
      <c r="E44" s="4">
        <v>2</v>
      </c>
      <c r="F44" s="17">
        <v>2</v>
      </c>
      <c r="G44" s="15"/>
      <c r="H44" s="2"/>
      <c r="I44" s="33"/>
      <c r="J44" s="39"/>
      <c r="K44" s="14"/>
      <c r="L44" s="40"/>
      <c r="M44" s="39"/>
      <c r="N44" s="14"/>
      <c r="O44" s="40"/>
      <c r="P44" s="39"/>
      <c r="Q44" s="14"/>
      <c r="R44" s="40"/>
      <c r="S44" s="39"/>
      <c r="T44" s="14"/>
      <c r="U44" s="40"/>
      <c r="V44" s="39"/>
      <c r="W44" s="14"/>
      <c r="X44" s="40"/>
      <c r="Y44" s="50"/>
      <c r="Z44" s="56"/>
      <c r="AA44" s="57"/>
      <c r="AB44" s="39"/>
      <c r="AC44" s="14"/>
      <c r="AD44" s="40"/>
      <c r="AE44" s="44"/>
      <c r="AF44" s="45"/>
      <c r="AG44" s="46"/>
      <c r="AH44" s="44"/>
      <c r="AI44" s="45"/>
      <c r="AJ44" s="46"/>
      <c r="AK44" s="44"/>
      <c r="AL44" s="45"/>
      <c r="AM44" s="46"/>
      <c r="AN44" s="44"/>
      <c r="AO44" s="45"/>
      <c r="AP44" s="46"/>
      <c r="AQ44" s="44"/>
      <c r="AR44" s="45"/>
      <c r="AS44" s="46"/>
      <c r="AT44" s="44"/>
      <c r="AU44" s="45"/>
      <c r="AV44" s="46"/>
      <c r="AW44" s="44"/>
      <c r="AX44" s="45"/>
      <c r="AY44" s="46"/>
      <c r="AZ44" s="50"/>
      <c r="BA44" s="51"/>
      <c r="BB44" s="52"/>
      <c r="BC44" s="50"/>
      <c r="BD44" s="51"/>
      <c r="BE44" s="52"/>
      <c r="BF44" s="50"/>
      <c r="BG44" s="51"/>
      <c r="BH44" s="52"/>
      <c r="BI44" s="50">
        <v>2</v>
      </c>
      <c r="BJ44" s="51">
        <v>2</v>
      </c>
      <c r="BK44" s="52">
        <v>2</v>
      </c>
      <c r="BL44" s="50"/>
      <c r="BM44" s="51"/>
      <c r="BN44" s="52"/>
      <c r="BO44" s="50"/>
      <c r="BP44" s="51"/>
      <c r="BQ44" s="52"/>
      <c r="BR44" s="50"/>
      <c r="BS44" s="51"/>
      <c r="BT44" s="52"/>
      <c r="BU44" s="50"/>
      <c r="BV44" s="51"/>
      <c r="BW44" s="52"/>
      <c r="BX44" s="50"/>
      <c r="BY44" s="51"/>
      <c r="BZ44" s="52"/>
      <c r="CA44" s="50"/>
      <c r="CB44" s="51"/>
      <c r="CC44" s="52"/>
      <c r="CD44" s="50"/>
      <c r="CE44" s="51"/>
      <c r="CF44" s="52"/>
      <c r="CG44" s="50"/>
      <c r="CH44" s="51"/>
      <c r="CI44" s="52"/>
      <c r="CJ44" s="50"/>
      <c r="CK44" s="51"/>
      <c r="CL44" s="52"/>
      <c r="CM44" s="50"/>
      <c r="CN44" s="51"/>
      <c r="CO44" s="52"/>
      <c r="CP44" s="50"/>
      <c r="CQ44" s="51"/>
      <c r="CR44" s="52"/>
      <c r="CS44" s="50"/>
      <c r="CT44" s="51"/>
      <c r="CU44" s="52"/>
      <c r="CV44" s="50"/>
      <c r="CW44" s="51"/>
      <c r="CX44" s="52"/>
      <c r="CY44" s="50"/>
      <c r="CZ44" s="51"/>
      <c r="DA44" s="52"/>
      <c r="DB44" s="50"/>
      <c r="DC44" s="51"/>
      <c r="DD44" s="52"/>
      <c r="DE44" s="50"/>
      <c r="DF44" s="51"/>
      <c r="DG44" s="69"/>
      <c r="DH44" s="64">
        <f t="shared" si="4"/>
        <v>6</v>
      </c>
    </row>
    <row r="45" spans="2:112" ht="15.75" thickBot="1" x14ac:dyDescent="0.3">
      <c r="B45" s="3" t="s">
        <v>20</v>
      </c>
      <c r="C45" s="11">
        <v>2</v>
      </c>
      <c r="D45" s="16">
        <v>2</v>
      </c>
      <c r="E45" s="4">
        <v>2</v>
      </c>
      <c r="F45" s="17">
        <v>2</v>
      </c>
      <c r="G45" s="71"/>
      <c r="H45" s="72"/>
      <c r="I45" s="73"/>
      <c r="J45" s="39"/>
      <c r="K45" s="14"/>
      <c r="L45" s="40"/>
      <c r="M45" s="39"/>
      <c r="N45" s="14"/>
      <c r="O45" s="40"/>
      <c r="P45" s="39"/>
      <c r="Q45" s="14"/>
      <c r="R45" s="40"/>
      <c r="S45" s="39"/>
      <c r="T45" s="14"/>
      <c r="U45" s="40"/>
      <c r="V45" s="39"/>
      <c r="W45" s="14"/>
      <c r="X45" s="40"/>
      <c r="Y45" s="50"/>
      <c r="Z45" s="56"/>
      <c r="AA45" s="57"/>
      <c r="AB45" s="39"/>
      <c r="AC45" s="14"/>
      <c r="AD45" s="40"/>
      <c r="AE45" s="47"/>
      <c r="AF45" s="48"/>
      <c r="AG45" s="49"/>
      <c r="AH45" s="47"/>
      <c r="AI45" s="48"/>
      <c r="AJ45" s="49"/>
      <c r="AK45" s="47"/>
      <c r="AL45" s="48"/>
      <c r="AM45" s="49"/>
      <c r="AN45" s="47"/>
      <c r="AO45" s="48"/>
      <c r="AP45" s="49"/>
      <c r="AQ45" s="47"/>
      <c r="AR45" s="48"/>
      <c r="AS45" s="49"/>
      <c r="AT45" s="47"/>
      <c r="AU45" s="48"/>
      <c r="AV45" s="49"/>
      <c r="AW45" s="47"/>
      <c r="AX45" s="48"/>
      <c r="AY45" s="49"/>
      <c r="AZ45" s="53"/>
      <c r="BA45" s="54"/>
      <c r="BB45" s="55"/>
      <c r="BC45" s="53"/>
      <c r="BD45" s="54"/>
      <c r="BE45" s="55"/>
      <c r="BF45" s="53"/>
      <c r="BG45" s="54"/>
      <c r="BH45" s="55"/>
      <c r="BI45" s="53"/>
      <c r="BJ45" s="54"/>
      <c r="BK45" s="55"/>
      <c r="BL45" s="53">
        <v>2</v>
      </c>
      <c r="BM45" s="54">
        <v>2</v>
      </c>
      <c r="BN45" s="55">
        <v>2</v>
      </c>
      <c r="BO45" s="53"/>
      <c r="BP45" s="54"/>
      <c r="BQ45" s="55"/>
      <c r="BR45" s="53"/>
      <c r="BS45" s="54"/>
      <c r="BT45" s="55"/>
      <c r="BU45" s="53"/>
      <c r="BV45" s="54"/>
      <c r="BW45" s="55"/>
      <c r="BX45" s="53"/>
      <c r="BY45" s="54"/>
      <c r="BZ45" s="55"/>
      <c r="CA45" s="53"/>
      <c r="CB45" s="54"/>
      <c r="CC45" s="55"/>
      <c r="CD45" s="53"/>
      <c r="CE45" s="54"/>
      <c r="CF45" s="55"/>
      <c r="CG45" s="53"/>
      <c r="CH45" s="54"/>
      <c r="CI45" s="55"/>
      <c r="CJ45" s="53"/>
      <c r="CK45" s="54"/>
      <c r="CL45" s="55"/>
      <c r="CM45" s="53"/>
      <c r="CN45" s="54"/>
      <c r="CO45" s="55"/>
      <c r="CP45" s="53"/>
      <c r="CQ45" s="54"/>
      <c r="CR45" s="55"/>
      <c r="CS45" s="53"/>
      <c r="CT45" s="54"/>
      <c r="CU45" s="55"/>
      <c r="CV45" s="53"/>
      <c r="CW45" s="54"/>
      <c r="CX45" s="55"/>
      <c r="CY45" s="53"/>
      <c r="CZ45" s="54"/>
      <c r="DA45" s="55"/>
      <c r="DB45" s="53"/>
      <c r="DC45" s="54"/>
      <c r="DD45" s="55"/>
      <c r="DE45" s="53"/>
      <c r="DF45" s="54"/>
      <c r="DG45" s="70"/>
      <c r="DH45" s="64">
        <f t="shared" si="4"/>
        <v>6</v>
      </c>
    </row>
    <row r="46" spans="2:112" ht="16.5" thickTop="1" thickBot="1" x14ac:dyDescent="0.3">
      <c r="B46" s="7" t="s">
        <v>28</v>
      </c>
      <c r="C46" s="13">
        <f>SUM(C30:C45)</f>
        <v>32</v>
      </c>
      <c r="D46" s="20">
        <f t="shared" ref="D46:BO46" si="5">SUM(D30:D45)</f>
        <v>32</v>
      </c>
      <c r="E46" s="7">
        <f t="shared" si="5"/>
        <v>32</v>
      </c>
      <c r="F46" s="21">
        <f t="shared" si="5"/>
        <v>32</v>
      </c>
      <c r="G46" s="20">
        <f t="shared" si="5"/>
        <v>4</v>
      </c>
      <c r="H46" s="7">
        <f t="shared" si="5"/>
        <v>4</v>
      </c>
      <c r="I46" s="7">
        <f t="shared" si="5"/>
        <v>4</v>
      </c>
      <c r="J46" s="7">
        <f t="shared" si="5"/>
        <v>4</v>
      </c>
      <c r="K46" s="7">
        <f t="shared" si="5"/>
        <v>4</v>
      </c>
      <c r="L46" s="7">
        <f t="shared" si="5"/>
        <v>4</v>
      </c>
      <c r="M46" s="7">
        <f t="shared" si="5"/>
        <v>4</v>
      </c>
      <c r="N46" s="7">
        <f t="shared" si="5"/>
        <v>4</v>
      </c>
      <c r="O46" s="7">
        <f t="shared" si="5"/>
        <v>4</v>
      </c>
      <c r="P46" s="7">
        <f t="shared" si="5"/>
        <v>2</v>
      </c>
      <c r="Q46" s="7">
        <f t="shared" si="5"/>
        <v>2</v>
      </c>
      <c r="R46" s="7">
        <f t="shared" si="5"/>
        <v>2</v>
      </c>
      <c r="S46" s="7">
        <f t="shared" si="5"/>
        <v>0</v>
      </c>
      <c r="T46" s="7">
        <f t="shared" si="5"/>
        <v>0</v>
      </c>
      <c r="U46" s="7">
        <f t="shared" si="5"/>
        <v>0</v>
      </c>
      <c r="V46" s="7">
        <f t="shared" si="5"/>
        <v>0</v>
      </c>
      <c r="W46" s="7">
        <f t="shared" si="5"/>
        <v>0</v>
      </c>
      <c r="X46" s="7">
        <f t="shared" si="5"/>
        <v>0</v>
      </c>
      <c r="Y46" s="7">
        <f t="shared" si="5"/>
        <v>0</v>
      </c>
      <c r="Z46" s="7">
        <f t="shared" si="5"/>
        <v>0</v>
      </c>
      <c r="AA46" s="7">
        <f t="shared" si="5"/>
        <v>0</v>
      </c>
      <c r="AB46" s="7">
        <f t="shared" si="5"/>
        <v>0</v>
      </c>
      <c r="AC46" s="7">
        <f t="shared" si="5"/>
        <v>0</v>
      </c>
      <c r="AD46" s="7">
        <f t="shared" si="5"/>
        <v>0</v>
      </c>
      <c r="AE46" s="7">
        <f t="shared" si="5"/>
        <v>0</v>
      </c>
      <c r="AF46" s="7">
        <f t="shared" si="5"/>
        <v>0</v>
      </c>
      <c r="AG46" s="7">
        <f t="shared" si="5"/>
        <v>0</v>
      </c>
      <c r="AH46" s="7">
        <f t="shared" si="5"/>
        <v>0</v>
      </c>
      <c r="AI46" s="7">
        <f t="shared" si="5"/>
        <v>0</v>
      </c>
      <c r="AJ46" s="7">
        <f t="shared" si="5"/>
        <v>0</v>
      </c>
      <c r="AK46" s="7">
        <f t="shared" si="5"/>
        <v>0</v>
      </c>
      <c r="AL46" s="7">
        <f t="shared" si="5"/>
        <v>0</v>
      </c>
      <c r="AM46" s="7">
        <f t="shared" si="5"/>
        <v>0</v>
      </c>
      <c r="AN46" s="7">
        <f t="shared" si="5"/>
        <v>0</v>
      </c>
      <c r="AO46" s="7">
        <f t="shared" si="5"/>
        <v>0</v>
      </c>
      <c r="AP46" s="7">
        <f t="shared" si="5"/>
        <v>0</v>
      </c>
      <c r="AQ46" s="7">
        <f t="shared" si="5"/>
        <v>0</v>
      </c>
      <c r="AR46" s="7">
        <f t="shared" si="5"/>
        <v>0</v>
      </c>
      <c r="AS46" s="7">
        <f t="shared" si="5"/>
        <v>0</v>
      </c>
      <c r="AT46" s="7">
        <f t="shared" si="5"/>
        <v>0</v>
      </c>
      <c r="AU46" s="7">
        <f t="shared" si="5"/>
        <v>0</v>
      </c>
      <c r="AV46" s="7">
        <f t="shared" si="5"/>
        <v>0</v>
      </c>
      <c r="AW46" s="7">
        <f t="shared" si="5"/>
        <v>0</v>
      </c>
      <c r="AX46" s="7">
        <f t="shared" si="5"/>
        <v>0</v>
      </c>
      <c r="AY46" s="7">
        <f t="shared" si="5"/>
        <v>0</v>
      </c>
      <c r="AZ46" s="7">
        <f t="shared" si="5"/>
        <v>4</v>
      </c>
      <c r="BA46" s="7">
        <f t="shared" si="5"/>
        <v>4</v>
      </c>
      <c r="BB46" s="7">
        <f t="shared" si="5"/>
        <v>4</v>
      </c>
      <c r="BC46" s="7">
        <f t="shared" si="5"/>
        <v>4</v>
      </c>
      <c r="BD46" s="7">
        <f t="shared" si="5"/>
        <v>4</v>
      </c>
      <c r="BE46" s="7">
        <f t="shared" si="5"/>
        <v>4</v>
      </c>
      <c r="BF46" s="7">
        <f t="shared" si="5"/>
        <v>4</v>
      </c>
      <c r="BG46" s="7">
        <f t="shared" si="5"/>
        <v>4</v>
      </c>
      <c r="BH46" s="7">
        <f t="shared" si="5"/>
        <v>4</v>
      </c>
      <c r="BI46" s="7">
        <f t="shared" si="5"/>
        <v>4</v>
      </c>
      <c r="BJ46" s="7">
        <f t="shared" si="5"/>
        <v>4</v>
      </c>
      <c r="BK46" s="7">
        <f t="shared" si="5"/>
        <v>4</v>
      </c>
      <c r="BL46" s="7">
        <f t="shared" si="5"/>
        <v>2</v>
      </c>
      <c r="BM46" s="7">
        <f t="shared" si="5"/>
        <v>2</v>
      </c>
      <c r="BN46" s="7">
        <f t="shared" si="5"/>
        <v>2</v>
      </c>
      <c r="BO46" s="7">
        <f t="shared" si="5"/>
        <v>0</v>
      </c>
      <c r="BP46" s="7">
        <f t="shared" ref="BP46:DG46" si="6">SUM(BP30:BP45)</f>
        <v>0</v>
      </c>
      <c r="BQ46" s="7">
        <f t="shared" si="6"/>
        <v>0</v>
      </c>
      <c r="BR46" s="7">
        <f t="shared" si="6"/>
        <v>0</v>
      </c>
      <c r="BS46" s="7">
        <f t="shared" si="6"/>
        <v>0</v>
      </c>
      <c r="BT46" s="7">
        <f t="shared" si="6"/>
        <v>0</v>
      </c>
      <c r="BU46" s="7">
        <f t="shared" si="6"/>
        <v>0</v>
      </c>
      <c r="BV46" s="7">
        <f t="shared" si="6"/>
        <v>0</v>
      </c>
      <c r="BW46" s="7">
        <f t="shared" si="6"/>
        <v>0</v>
      </c>
      <c r="BX46" s="7">
        <f t="shared" si="6"/>
        <v>0</v>
      </c>
      <c r="BY46" s="7">
        <f t="shared" si="6"/>
        <v>0</v>
      </c>
      <c r="BZ46" s="7">
        <f t="shared" si="6"/>
        <v>0</v>
      </c>
      <c r="CA46" s="7">
        <f t="shared" si="6"/>
        <v>0</v>
      </c>
      <c r="CB46" s="7">
        <f t="shared" si="6"/>
        <v>0</v>
      </c>
      <c r="CC46" s="7">
        <f t="shared" si="6"/>
        <v>0</v>
      </c>
      <c r="CD46" s="7">
        <f t="shared" si="6"/>
        <v>0</v>
      </c>
      <c r="CE46" s="7">
        <f t="shared" si="6"/>
        <v>0</v>
      </c>
      <c r="CF46" s="7">
        <f t="shared" si="6"/>
        <v>0</v>
      </c>
      <c r="CG46" s="7">
        <f t="shared" si="6"/>
        <v>0</v>
      </c>
      <c r="CH46" s="7">
        <f t="shared" si="6"/>
        <v>0</v>
      </c>
      <c r="CI46" s="7">
        <f t="shared" si="6"/>
        <v>0</v>
      </c>
      <c r="CJ46" s="7">
        <f t="shared" si="6"/>
        <v>0</v>
      </c>
      <c r="CK46" s="7">
        <f t="shared" si="6"/>
        <v>0</v>
      </c>
      <c r="CL46" s="7">
        <f t="shared" si="6"/>
        <v>0</v>
      </c>
      <c r="CM46" s="7">
        <f t="shared" si="6"/>
        <v>0</v>
      </c>
      <c r="CN46" s="7">
        <f t="shared" si="6"/>
        <v>0</v>
      </c>
      <c r="CO46" s="7">
        <f t="shared" si="6"/>
        <v>0</v>
      </c>
      <c r="CP46" s="7">
        <f t="shared" si="6"/>
        <v>0</v>
      </c>
      <c r="CQ46" s="7">
        <f t="shared" si="6"/>
        <v>0</v>
      </c>
      <c r="CR46" s="7">
        <f t="shared" si="6"/>
        <v>0</v>
      </c>
      <c r="CS46" s="7">
        <f t="shared" si="6"/>
        <v>0</v>
      </c>
      <c r="CT46" s="7">
        <f t="shared" si="6"/>
        <v>0</v>
      </c>
      <c r="CU46" s="7">
        <f t="shared" si="6"/>
        <v>0</v>
      </c>
      <c r="CV46" s="7">
        <f t="shared" si="6"/>
        <v>0</v>
      </c>
      <c r="CW46" s="7">
        <f t="shared" si="6"/>
        <v>0</v>
      </c>
      <c r="CX46" s="7">
        <f t="shared" si="6"/>
        <v>0</v>
      </c>
      <c r="CY46" s="7">
        <f t="shared" si="6"/>
        <v>0</v>
      </c>
      <c r="CZ46" s="7">
        <f t="shared" si="6"/>
        <v>0</v>
      </c>
      <c r="DA46" s="7">
        <f t="shared" si="6"/>
        <v>0</v>
      </c>
      <c r="DB46" s="7">
        <f t="shared" si="6"/>
        <v>0</v>
      </c>
      <c r="DC46" s="7">
        <f t="shared" si="6"/>
        <v>0</v>
      </c>
      <c r="DD46" s="7">
        <f t="shared" si="6"/>
        <v>0</v>
      </c>
      <c r="DE46" s="7">
        <f t="shared" si="6"/>
        <v>0</v>
      </c>
      <c r="DF46" s="7">
        <f t="shared" si="6"/>
        <v>0</v>
      </c>
      <c r="DG46" s="7">
        <f t="shared" si="6"/>
        <v>0</v>
      </c>
      <c r="DH46" s="65">
        <f>SUM(DH30:DH45)</f>
        <v>96</v>
      </c>
    </row>
    <row r="47" spans="2:112" ht="15.75" thickTop="1" x14ac:dyDescent="0.25">
      <c r="B47" s="130" t="s">
        <v>27</v>
      </c>
      <c r="C47" s="131"/>
      <c r="D47" s="121" t="s">
        <v>30</v>
      </c>
      <c r="E47" s="122"/>
      <c r="F47" s="123"/>
      <c r="G47" s="146" t="s">
        <v>31</v>
      </c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7"/>
      <c r="BC47" s="147"/>
      <c r="BD47" s="147"/>
      <c r="BE47" s="147"/>
      <c r="BF47" s="147"/>
      <c r="BG47" s="147"/>
      <c r="BH47" s="147"/>
      <c r="BI47" s="147"/>
      <c r="BJ47" s="147"/>
      <c r="BK47" s="147"/>
      <c r="BL47" s="147"/>
      <c r="BM47" s="147"/>
      <c r="BN47" s="147"/>
      <c r="BO47" s="147"/>
      <c r="BP47" s="147"/>
      <c r="BQ47" s="147"/>
      <c r="BR47" s="147"/>
      <c r="BS47" s="147"/>
      <c r="BT47" s="147"/>
      <c r="BU47" s="147"/>
      <c r="BV47" s="147"/>
      <c r="BW47" s="147"/>
      <c r="BX47" s="147"/>
      <c r="BY47" s="147"/>
      <c r="BZ47" s="147"/>
      <c r="CA47" s="147"/>
      <c r="CB47" s="147"/>
      <c r="CC47" s="147"/>
      <c r="CD47" s="147"/>
      <c r="CE47" s="147"/>
      <c r="CF47" s="147"/>
      <c r="CG47" s="147"/>
      <c r="CH47" s="147"/>
      <c r="CI47" s="147"/>
      <c r="CJ47" s="147"/>
      <c r="CK47" s="147"/>
      <c r="CL47" s="147"/>
      <c r="CM47" s="147"/>
      <c r="CN47" s="147"/>
      <c r="CO47" s="147"/>
      <c r="CP47" s="147"/>
      <c r="CQ47" s="147"/>
      <c r="CR47" s="147"/>
      <c r="CS47" s="147"/>
      <c r="CT47" s="147"/>
      <c r="CU47" s="147"/>
      <c r="CV47" s="147"/>
      <c r="CW47" s="147"/>
      <c r="CX47" s="147"/>
      <c r="CY47" s="147"/>
      <c r="CZ47" s="147"/>
      <c r="DA47" s="147"/>
      <c r="DB47" s="147"/>
      <c r="DC47" s="147"/>
      <c r="DD47" s="147"/>
      <c r="DE47" s="147"/>
      <c r="DF47" s="147"/>
      <c r="DG47" s="148"/>
      <c r="DH47" s="157" t="s">
        <v>63</v>
      </c>
    </row>
    <row r="48" spans="2:112" x14ac:dyDescent="0.25">
      <c r="B48" s="132"/>
      <c r="C48" s="133"/>
      <c r="D48" s="124"/>
      <c r="E48" s="125"/>
      <c r="F48" s="126"/>
      <c r="G48" s="150">
        <v>46174</v>
      </c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151"/>
      <c r="AE48" s="151"/>
      <c r="AF48" s="151"/>
      <c r="AG48" s="151"/>
      <c r="AH48" s="151"/>
      <c r="AI48" s="151"/>
      <c r="AJ48" s="151"/>
      <c r="AK48" s="151"/>
      <c r="AL48" s="151"/>
      <c r="AM48" s="151"/>
      <c r="AN48" s="151"/>
      <c r="AO48" s="151"/>
      <c r="AP48" s="151"/>
      <c r="AQ48" s="151"/>
      <c r="AR48" s="151"/>
      <c r="AS48" s="151"/>
      <c r="AT48" s="151"/>
      <c r="AU48" s="151"/>
      <c r="AV48" s="151"/>
      <c r="AW48" s="151"/>
      <c r="AX48" s="151"/>
      <c r="AY48" s="151"/>
      <c r="AZ48" s="151"/>
      <c r="BA48" s="151"/>
      <c r="BB48" s="151"/>
      <c r="BC48" s="151"/>
      <c r="BD48" s="151"/>
      <c r="BE48" s="151"/>
      <c r="BF48" s="151"/>
      <c r="BG48" s="151"/>
      <c r="BH48" s="151"/>
      <c r="BI48" s="151"/>
      <c r="BJ48" s="151"/>
      <c r="BK48" s="151"/>
      <c r="BL48" s="151"/>
      <c r="BM48" s="151"/>
      <c r="BN48" s="151"/>
      <c r="BO48" s="151"/>
      <c r="BP48" s="151"/>
      <c r="BQ48" s="151"/>
      <c r="BR48" s="151"/>
      <c r="BS48" s="151"/>
      <c r="BT48" s="151"/>
      <c r="BU48" s="151"/>
      <c r="BV48" s="151"/>
      <c r="BW48" s="151"/>
      <c r="BX48" s="151"/>
      <c r="BY48" s="151"/>
      <c r="BZ48" s="151"/>
      <c r="CA48" s="151"/>
      <c r="CB48" s="151"/>
      <c r="CC48" s="151"/>
      <c r="CD48" s="151"/>
      <c r="CE48" s="151"/>
      <c r="CF48" s="151"/>
      <c r="CG48" s="151"/>
      <c r="CH48" s="151"/>
      <c r="CI48" s="151"/>
      <c r="CJ48" s="151"/>
      <c r="CK48" s="151"/>
      <c r="CL48" s="151"/>
      <c r="CM48" s="151"/>
      <c r="CN48" s="151"/>
      <c r="CO48" s="151"/>
      <c r="CP48" s="151"/>
      <c r="CQ48" s="151"/>
      <c r="CR48" s="151"/>
      <c r="CS48" s="152">
        <v>46204</v>
      </c>
      <c r="CT48" s="153"/>
      <c r="CU48" s="153"/>
      <c r="CV48" s="153"/>
      <c r="CW48" s="153"/>
      <c r="CX48" s="153"/>
      <c r="CY48" s="153"/>
      <c r="CZ48" s="153"/>
      <c r="DA48" s="153"/>
      <c r="DB48" s="153"/>
      <c r="DC48" s="153"/>
      <c r="DD48" s="153"/>
      <c r="DE48" s="153"/>
      <c r="DF48" s="153"/>
      <c r="DG48" s="153"/>
      <c r="DH48" s="158"/>
    </row>
    <row r="49" spans="2:112" ht="32.25" customHeight="1" x14ac:dyDescent="0.25">
      <c r="B49" s="134"/>
      <c r="C49" s="135"/>
      <c r="D49" s="136" t="s">
        <v>21</v>
      </c>
      <c r="E49" s="137"/>
      <c r="F49" s="138"/>
      <c r="G49" s="127" t="s">
        <v>32</v>
      </c>
      <c r="H49" s="120"/>
      <c r="I49" s="120"/>
      <c r="J49" s="120" t="s">
        <v>33</v>
      </c>
      <c r="K49" s="120"/>
      <c r="L49" s="120"/>
      <c r="M49" s="120" t="s">
        <v>34</v>
      </c>
      <c r="N49" s="120"/>
      <c r="O49" s="120"/>
      <c r="P49" s="120" t="s">
        <v>35</v>
      </c>
      <c r="Q49" s="120"/>
      <c r="R49" s="120"/>
      <c r="S49" s="120" t="s">
        <v>36</v>
      </c>
      <c r="T49" s="120"/>
      <c r="U49" s="120"/>
      <c r="V49" s="120" t="s">
        <v>37</v>
      </c>
      <c r="W49" s="120"/>
      <c r="X49" s="120"/>
      <c r="Y49" s="120" t="s">
        <v>38</v>
      </c>
      <c r="Z49" s="120"/>
      <c r="AA49" s="120"/>
      <c r="AB49" s="120" t="s">
        <v>40</v>
      </c>
      <c r="AC49" s="120"/>
      <c r="AD49" s="120"/>
      <c r="AE49" s="120" t="s">
        <v>41</v>
      </c>
      <c r="AF49" s="120"/>
      <c r="AG49" s="120"/>
      <c r="AH49" s="120" t="s">
        <v>42</v>
      </c>
      <c r="AI49" s="120"/>
      <c r="AJ49" s="120"/>
      <c r="AK49" s="120" t="s">
        <v>43</v>
      </c>
      <c r="AL49" s="120"/>
      <c r="AM49" s="120"/>
      <c r="AN49" s="120" t="s">
        <v>44</v>
      </c>
      <c r="AO49" s="120"/>
      <c r="AP49" s="120"/>
      <c r="AQ49" s="120" t="s">
        <v>45</v>
      </c>
      <c r="AR49" s="120"/>
      <c r="AS49" s="120"/>
      <c r="AT49" s="120" t="s">
        <v>46</v>
      </c>
      <c r="AU49" s="120"/>
      <c r="AV49" s="120"/>
      <c r="AW49" s="120" t="s">
        <v>47</v>
      </c>
      <c r="AX49" s="120"/>
      <c r="AY49" s="120"/>
      <c r="AZ49" s="120" t="s">
        <v>48</v>
      </c>
      <c r="BA49" s="120"/>
      <c r="BB49" s="120"/>
      <c r="BC49" s="120" t="s">
        <v>49</v>
      </c>
      <c r="BD49" s="120"/>
      <c r="BE49" s="120"/>
      <c r="BF49" s="120" t="s">
        <v>50</v>
      </c>
      <c r="BG49" s="120"/>
      <c r="BH49" s="120"/>
      <c r="BI49" s="120" t="s">
        <v>51</v>
      </c>
      <c r="BJ49" s="120"/>
      <c r="BK49" s="120"/>
      <c r="BL49" s="120" t="s">
        <v>52</v>
      </c>
      <c r="BM49" s="120"/>
      <c r="BN49" s="120"/>
      <c r="BO49" s="120" t="s">
        <v>53</v>
      </c>
      <c r="BP49" s="120"/>
      <c r="BQ49" s="120"/>
      <c r="BR49" s="120" t="s">
        <v>54</v>
      </c>
      <c r="BS49" s="120"/>
      <c r="BT49" s="120"/>
      <c r="BU49" s="120" t="s">
        <v>55</v>
      </c>
      <c r="BV49" s="120"/>
      <c r="BW49" s="120"/>
      <c r="BX49" s="120" t="s">
        <v>56</v>
      </c>
      <c r="BY49" s="120"/>
      <c r="BZ49" s="120"/>
      <c r="CA49" s="120" t="s">
        <v>57</v>
      </c>
      <c r="CB49" s="120"/>
      <c r="CC49" s="120"/>
      <c r="CD49" s="120" t="s">
        <v>58</v>
      </c>
      <c r="CE49" s="120"/>
      <c r="CF49" s="120"/>
      <c r="CG49" s="120" t="s">
        <v>59</v>
      </c>
      <c r="CH49" s="120"/>
      <c r="CI49" s="120"/>
      <c r="CJ49" s="120" t="s">
        <v>60</v>
      </c>
      <c r="CK49" s="120"/>
      <c r="CL49" s="120"/>
      <c r="CM49" s="120" t="s">
        <v>61</v>
      </c>
      <c r="CN49" s="120"/>
      <c r="CO49" s="120"/>
      <c r="CP49" s="120" t="s">
        <v>62</v>
      </c>
      <c r="CQ49" s="120"/>
      <c r="CR49" s="120"/>
      <c r="CS49" s="120" t="s">
        <v>32</v>
      </c>
      <c r="CT49" s="120"/>
      <c r="CU49" s="120"/>
      <c r="CV49" s="120" t="s">
        <v>33</v>
      </c>
      <c r="CW49" s="120"/>
      <c r="CX49" s="120"/>
      <c r="CY49" s="120" t="s">
        <v>34</v>
      </c>
      <c r="CZ49" s="120"/>
      <c r="DA49" s="120"/>
      <c r="DB49" s="120" t="s">
        <v>35</v>
      </c>
      <c r="DC49" s="120"/>
      <c r="DD49" s="120"/>
      <c r="DE49" s="120" t="s">
        <v>36</v>
      </c>
      <c r="DF49" s="120"/>
      <c r="DG49" s="149"/>
      <c r="DH49" s="159"/>
    </row>
    <row r="50" spans="2:112" ht="30" x14ac:dyDescent="0.25">
      <c r="B50" s="2" t="s">
        <v>0</v>
      </c>
      <c r="C50" s="10" t="s">
        <v>1</v>
      </c>
      <c r="D50" s="26" t="s">
        <v>2</v>
      </c>
      <c r="E50" s="27" t="s">
        <v>3</v>
      </c>
      <c r="F50" s="28" t="s">
        <v>4</v>
      </c>
      <c r="G50" s="24" t="s">
        <v>2</v>
      </c>
      <c r="H50" s="25" t="s">
        <v>3</v>
      </c>
      <c r="I50" s="25" t="s">
        <v>4</v>
      </c>
      <c r="J50" s="24" t="s">
        <v>2</v>
      </c>
      <c r="K50" s="25" t="s">
        <v>3</v>
      </c>
      <c r="L50" s="25" t="s">
        <v>4</v>
      </c>
      <c r="M50" s="24" t="s">
        <v>2</v>
      </c>
      <c r="N50" s="25" t="s">
        <v>3</v>
      </c>
      <c r="O50" s="25" t="s">
        <v>4</v>
      </c>
      <c r="P50" s="24" t="s">
        <v>2</v>
      </c>
      <c r="Q50" s="25" t="s">
        <v>3</v>
      </c>
      <c r="R50" s="25" t="s">
        <v>4</v>
      </c>
      <c r="S50" s="24" t="s">
        <v>2</v>
      </c>
      <c r="T50" s="25" t="s">
        <v>3</v>
      </c>
      <c r="U50" s="25" t="s">
        <v>4</v>
      </c>
      <c r="V50" s="24" t="s">
        <v>2</v>
      </c>
      <c r="W50" s="25" t="s">
        <v>3</v>
      </c>
      <c r="X50" s="25" t="s">
        <v>4</v>
      </c>
      <c r="Y50" s="24" t="s">
        <v>2</v>
      </c>
      <c r="Z50" s="25" t="s">
        <v>3</v>
      </c>
      <c r="AA50" s="25" t="s">
        <v>4</v>
      </c>
      <c r="AB50" s="24" t="s">
        <v>2</v>
      </c>
      <c r="AC50" s="25" t="s">
        <v>3</v>
      </c>
      <c r="AD50" s="25" t="s">
        <v>4</v>
      </c>
      <c r="AE50" s="24" t="s">
        <v>2</v>
      </c>
      <c r="AF50" s="25" t="s">
        <v>3</v>
      </c>
      <c r="AG50" s="25" t="s">
        <v>4</v>
      </c>
      <c r="AH50" s="24" t="s">
        <v>2</v>
      </c>
      <c r="AI50" s="25" t="s">
        <v>3</v>
      </c>
      <c r="AJ50" s="25" t="s">
        <v>4</v>
      </c>
      <c r="AK50" s="24" t="s">
        <v>2</v>
      </c>
      <c r="AL50" s="25" t="s">
        <v>3</v>
      </c>
      <c r="AM50" s="25" t="s">
        <v>4</v>
      </c>
      <c r="AN50" s="24" t="s">
        <v>2</v>
      </c>
      <c r="AO50" s="25" t="s">
        <v>3</v>
      </c>
      <c r="AP50" s="25" t="s">
        <v>4</v>
      </c>
      <c r="AQ50" s="24" t="s">
        <v>2</v>
      </c>
      <c r="AR50" s="25" t="s">
        <v>3</v>
      </c>
      <c r="AS50" s="25" t="s">
        <v>4</v>
      </c>
      <c r="AT50" s="24" t="s">
        <v>2</v>
      </c>
      <c r="AU50" s="25" t="s">
        <v>3</v>
      </c>
      <c r="AV50" s="25" t="s">
        <v>4</v>
      </c>
      <c r="AW50" s="24" t="s">
        <v>2</v>
      </c>
      <c r="AX50" s="25" t="s">
        <v>3</v>
      </c>
      <c r="AY50" s="25" t="s">
        <v>4</v>
      </c>
      <c r="AZ50" s="24" t="s">
        <v>2</v>
      </c>
      <c r="BA50" s="25" t="s">
        <v>3</v>
      </c>
      <c r="BB50" s="25" t="s">
        <v>4</v>
      </c>
      <c r="BC50" s="24" t="s">
        <v>2</v>
      </c>
      <c r="BD50" s="25" t="s">
        <v>3</v>
      </c>
      <c r="BE50" s="25" t="s">
        <v>4</v>
      </c>
      <c r="BF50" s="24" t="s">
        <v>2</v>
      </c>
      <c r="BG50" s="25" t="s">
        <v>3</v>
      </c>
      <c r="BH50" s="25" t="s">
        <v>4</v>
      </c>
      <c r="BI50" s="24" t="s">
        <v>2</v>
      </c>
      <c r="BJ50" s="25" t="s">
        <v>3</v>
      </c>
      <c r="BK50" s="25" t="s">
        <v>4</v>
      </c>
      <c r="BL50" s="24" t="s">
        <v>2</v>
      </c>
      <c r="BM50" s="25" t="s">
        <v>3</v>
      </c>
      <c r="BN50" s="25" t="s">
        <v>4</v>
      </c>
      <c r="BO50" s="24" t="s">
        <v>2</v>
      </c>
      <c r="BP50" s="25" t="s">
        <v>3</v>
      </c>
      <c r="BQ50" s="25" t="s">
        <v>4</v>
      </c>
      <c r="BR50" s="24" t="s">
        <v>2</v>
      </c>
      <c r="BS50" s="25" t="s">
        <v>3</v>
      </c>
      <c r="BT50" s="25" t="s">
        <v>4</v>
      </c>
      <c r="BU50" s="24" t="s">
        <v>2</v>
      </c>
      <c r="BV50" s="25" t="s">
        <v>3</v>
      </c>
      <c r="BW50" s="25" t="s">
        <v>4</v>
      </c>
      <c r="BX50" s="24" t="s">
        <v>2</v>
      </c>
      <c r="BY50" s="25" t="s">
        <v>3</v>
      </c>
      <c r="BZ50" s="25" t="s">
        <v>4</v>
      </c>
      <c r="CA50" s="24" t="s">
        <v>2</v>
      </c>
      <c r="CB50" s="25" t="s">
        <v>3</v>
      </c>
      <c r="CC50" s="25" t="s">
        <v>4</v>
      </c>
      <c r="CD50" s="24" t="s">
        <v>2</v>
      </c>
      <c r="CE50" s="25" t="s">
        <v>3</v>
      </c>
      <c r="CF50" s="25" t="s">
        <v>4</v>
      </c>
      <c r="CG50" s="24" t="s">
        <v>2</v>
      </c>
      <c r="CH50" s="25" t="s">
        <v>3</v>
      </c>
      <c r="CI50" s="25" t="s">
        <v>4</v>
      </c>
      <c r="CJ50" s="24" t="s">
        <v>2</v>
      </c>
      <c r="CK50" s="25" t="s">
        <v>3</v>
      </c>
      <c r="CL50" s="25" t="s">
        <v>4</v>
      </c>
      <c r="CM50" s="24" t="s">
        <v>2</v>
      </c>
      <c r="CN50" s="25" t="s">
        <v>3</v>
      </c>
      <c r="CO50" s="25" t="s">
        <v>4</v>
      </c>
      <c r="CP50" s="24" t="s">
        <v>2</v>
      </c>
      <c r="CQ50" s="25" t="s">
        <v>3</v>
      </c>
      <c r="CR50" s="25" t="s">
        <v>4</v>
      </c>
      <c r="CS50" s="24" t="s">
        <v>2</v>
      </c>
      <c r="CT50" s="25" t="s">
        <v>3</v>
      </c>
      <c r="CU50" s="25" t="s">
        <v>4</v>
      </c>
      <c r="CV50" s="24" t="s">
        <v>2</v>
      </c>
      <c r="CW50" s="25" t="s">
        <v>3</v>
      </c>
      <c r="CX50" s="25" t="s">
        <v>4</v>
      </c>
      <c r="CY50" s="24" t="s">
        <v>2</v>
      </c>
      <c r="CZ50" s="25" t="s">
        <v>3</v>
      </c>
      <c r="DA50" s="25" t="s">
        <v>4</v>
      </c>
      <c r="DB50" s="24" t="s">
        <v>2</v>
      </c>
      <c r="DC50" s="25" t="s">
        <v>3</v>
      </c>
      <c r="DD50" s="25" t="s">
        <v>4</v>
      </c>
      <c r="DE50" s="24" t="s">
        <v>2</v>
      </c>
      <c r="DF50" s="25" t="s">
        <v>3</v>
      </c>
      <c r="DG50" s="25" t="s">
        <v>4</v>
      </c>
      <c r="DH50" s="68"/>
    </row>
    <row r="51" spans="2:112" x14ac:dyDescent="0.25">
      <c r="B51" s="8" t="s">
        <v>5</v>
      </c>
      <c r="C51" s="11">
        <v>24</v>
      </c>
      <c r="D51" s="16">
        <f t="shared" ref="D51:D58" si="7">C51</f>
        <v>24</v>
      </c>
      <c r="E51" s="4">
        <f t="shared" ref="E51:E58" si="8">C51</f>
        <v>24</v>
      </c>
      <c r="F51" s="17">
        <f>C51</f>
        <v>24</v>
      </c>
      <c r="G51" s="58"/>
      <c r="H51" s="45"/>
      <c r="I51" s="46"/>
      <c r="J51" s="44"/>
      <c r="K51" s="45"/>
      <c r="L51" s="46"/>
      <c r="M51" s="44"/>
      <c r="N51" s="45"/>
      <c r="O51" s="46"/>
      <c r="P51" s="50"/>
      <c r="Q51" s="51"/>
      <c r="R51" s="52"/>
      <c r="S51" s="50"/>
      <c r="T51" s="51"/>
      <c r="U51" s="52"/>
      <c r="V51" s="50"/>
      <c r="W51" s="51"/>
      <c r="X51" s="52"/>
      <c r="Y51" s="50"/>
      <c r="Z51" s="51"/>
      <c r="AA51" s="52"/>
      <c r="AB51" s="50"/>
      <c r="AC51" s="51"/>
      <c r="AD51" s="52"/>
      <c r="AE51" s="50"/>
      <c r="AF51" s="51"/>
      <c r="AG51" s="52"/>
      <c r="AH51" s="39"/>
      <c r="AI51" s="2"/>
      <c r="AJ51" s="33"/>
      <c r="AK51" s="39"/>
      <c r="AL51" s="2"/>
      <c r="AM51" s="33"/>
      <c r="AN51" s="39"/>
      <c r="AO51" s="2"/>
      <c r="AP51" s="33"/>
      <c r="AQ51" s="39"/>
      <c r="AR51" s="2"/>
      <c r="AS51" s="33"/>
      <c r="AT51" s="39"/>
      <c r="AU51" s="2"/>
      <c r="AV51" s="33"/>
      <c r="AW51" s="39"/>
      <c r="AX51" s="2"/>
      <c r="AY51" s="33"/>
      <c r="AZ51" s="39"/>
      <c r="BA51" s="2"/>
      <c r="BB51" s="33"/>
      <c r="BC51" s="39"/>
      <c r="BD51" s="2"/>
      <c r="BE51" s="33"/>
      <c r="BF51" s="39"/>
      <c r="BG51" s="2"/>
      <c r="BH51" s="33"/>
      <c r="BI51" s="39"/>
      <c r="BJ51" s="2"/>
      <c r="BK51" s="33"/>
      <c r="BL51" s="39"/>
      <c r="BM51" s="2"/>
      <c r="BN51" s="33"/>
      <c r="BO51" s="39"/>
      <c r="BP51" s="2"/>
      <c r="BQ51" s="33"/>
      <c r="BR51" s="39"/>
      <c r="BS51" s="2"/>
      <c r="BT51" s="33"/>
      <c r="BU51" s="39"/>
      <c r="BV51" s="2"/>
      <c r="BW51" s="33"/>
      <c r="BX51" s="39"/>
      <c r="BY51" s="2"/>
      <c r="BZ51" s="33"/>
      <c r="CA51" s="39"/>
      <c r="CB51" s="2"/>
      <c r="CC51" s="33"/>
      <c r="CD51" s="39"/>
      <c r="CE51" s="2"/>
      <c r="CF51" s="33"/>
      <c r="CG51" s="39">
        <v>4</v>
      </c>
      <c r="CH51" s="2">
        <v>4</v>
      </c>
      <c r="CI51" s="33">
        <v>4</v>
      </c>
      <c r="CJ51" s="39">
        <v>6</v>
      </c>
      <c r="CK51" s="2">
        <v>6</v>
      </c>
      <c r="CL51" s="33">
        <v>6</v>
      </c>
      <c r="CM51" s="39">
        <v>6</v>
      </c>
      <c r="CN51" s="2">
        <v>6</v>
      </c>
      <c r="CO51" s="33">
        <v>6</v>
      </c>
      <c r="CP51" s="39">
        <v>6</v>
      </c>
      <c r="CQ51" s="2">
        <v>6</v>
      </c>
      <c r="CR51" s="33">
        <v>6</v>
      </c>
      <c r="CS51" s="39">
        <v>2</v>
      </c>
      <c r="CT51" s="2">
        <v>2</v>
      </c>
      <c r="CU51" s="33">
        <v>2</v>
      </c>
      <c r="CV51" s="39"/>
      <c r="CW51" s="2"/>
      <c r="CX51" s="33"/>
      <c r="CY51" s="39"/>
      <c r="CZ51" s="2"/>
      <c r="DA51" s="33"/>
      <c r="DB51" s="39"/>
      <c r="DC51" s="2"/>
      <c r="DD51" s="33"/>
      <c r="DE51" s="39"/>
      <c r="DF51" s="2"/>
      <c r="DG51" s="2"/>
      <c r="DH51" s="66">
        <f>SUM(G51:DG51)</f>
        <v>72</v>
      </c>
    </row>
    <row r="52" spans="2:112" x14ac:dyDescent="0.25">
      <c r="B52" s="8" t="s">
        <v>22</v>
      </c>
      <c r="C52" s="11">
        <v>24</v>
      </c>
      <c r="D52" s="16">
        <f t="shared" si="7"/>
        <v>24</v>
      </c>
      <c r="E52" s="4">
        <f t="shared" si="8"/>
        <v>24</v>
      </c>
      <c r="F52" s="17">
        <f>C52</f>
        <v>24</v>
      </c>
      <c r="G52" s="58"/>
      <c r="H52" s="45"/>
      <c r="I52" s="46"/>
      <c r="J52" s="44"/>
      <c r="K52" s="45"/>
      <c r="L52" s="46"/>
      <c r="M52" s="44"/>
      <c r="N52" s="45"/>
      <c r="O52" s="46"/>
      <c r="P52" s="50"/>
      <c r="Q52" s="51"/>
      <c r="R52" s="52"/>
      <c r="S52" s="50"/>
      <c r="T52" s="51"/>
      <c r="U52" s="52"/>
      <c r="V52" s="50"/>
      <c r="W52" s="51"/>
      <c r="X52" s="52"/>
      <c r="Y52" s="50"/>
      <c r="Z52" s="51"/>
      <c r="AA52" s="52"/>
      <c r="AB52" s="50"/>
      <c r="AC52" s="51"/>
      <c r="AD52" s="52"/>
      <c r="AE52" s="50"/>
      <c r="AF52" s="51"/>
      <c r="AG52" s="52"/>
      <c r="AH52" s="39"/>
      <c r="AI52" s="2"/>
      <c r="AJ52" s="33"/>
      <c r="AK52" s="39"/>
      <c r="AL52" s="2"/>
      <c r="AM52" s="33"/>
      <c r="AN52" s="39"/>
      <c r="AO52" s="2"/>
      <c r="AP52" s="33"/>
      <c r="AQ52" s="39"/>
      <c r="AR52" s="2"/>
      <c r="AS52" s="33"/>
      <c r="AT52" s="39"/>
      <c r="AU52" s="2"/>
      <c r="AV52" s="33"/>
      <c r="AW52" s="39"/>
      <c r="AX52" s="2"/>
      <c r="AY52" s="33"/>
      <c r="AZ52" s="39"/>
      <c r="BA52" s="2"/>
      <c r="BB52" s="33"/>
      <c r="BC52" s="39"/>
      <c r="BD52" s="2"/>
      <c r="BE52" s="33"/>
      <c r="BF52" s="39"/>
      <c r="BG52" s="2"/>
      <c r="BH52" s="33"/>
      <c r="BI52" s="39"/>
      <c r="BJ52" s="2"/>
      <c r="BK52" s="33"/>
      <c r="BL52" s="39"/>
      <c r="BM52" s="2"/>
      <c r="BN52" s="33"/>
      <c r="BO52" s="39"/>
      <c r="BP52" s="2"/>
      <c r="BQ52" s="33"/>
      <c r="BR52" s="39"/>
      <c r="BS52" s="2"/>
      <c r="BT52" s="33"/>
      <c r="BU52" s="39"/>
      <c r="BV52" s="2"/>
      <c r="BW52" s="33"/>
      <c r="BX52" s="39"/>
      <c r="BY52" s="2"/>
      <c r="BZ52" s="33"/>
      <c r="CA52" s="39"/>
      <c r="CB52" s="2"/>
      <c r="CC52" s="33"/>
      <c r="CD52" s="39"/>
      <c r="CE52" s="2"/>
      <c r="CF52" s="33"/>
      <c r="CG52" s="39"/>
      <c r="CH52" s="2"/>
      <c r="CI52" s="33"/>
      <c r="CJ52" s="39"/>
      <c r="CK52" s="2"/>
      <c r="CL52" s="33"/>
      <c r="CM52" s="39"/>
      <c r="CN52" s="2"/>
      <c r="CO52" s="33"/>
      <c r="CP52" s="39"/>
      <c r="CQ52" s="2"/>
      <c r="CR52" s="33"/>
      <c r="CS52" s="39">
        <v>4</v>
      </c>
      <c r="CT52" s="2">
        <v>4</v>
      </c>
      <c r="CU52" s="33">
        <v>4</v>
      </c>
      <c r="CV52" s="39">
        <v>6</v>
      </c>
      <c r="CW52" s="2">
        <v>6</v>
      </c>
      <c r="CX52" s="33">
        <v>6</v>
      </c>
      <c r="CY52" s="39">
        <v>6</v>
      </c>
      <c r="CZ52" s="2">
        <v>6</v>
      </c>
      <c r="DA52" s="33">
        <v>6</v>
      </c>
      <c r="DB52" s="39">
        <v>6</v>
      </c>
      <c r="DC52" s="2">
        <v>6</v>
      </c>
      <c r="DD52" s="33">
        <v>6</v>
      </c>
      <c r="DE52" s="39">
        <v>2</v>
      </c>
      <c r="DF52" s="2">
        <v>2</v>
      </c>
      <c r="DG52" s="2">
        <v>2</v>
      </c>
      <c r="DH52" s="66">
        <f t="shared" ref="DH52:DH58" si="9">SUM(G52:DG52)</f>
        <v>72</v>
      </c>
    </row>
    <row r="53" spans="2:112" x14ac:dyDescent="0.25">
      <c r="B53" s="8" t="s">
        <v>23</v>
      </c>
      <c r="C53" s="11">
        <v>24</v>
      </c>
      <c r="D53" s="16">
        <f t="shared" si="7"/>
        <v>24</v>
      </c>
      <c r="E53" s="4">
        <f t="shared" si="8"/>
        <v>24</v>
      </c>
      <c r="F53" s="17">
        <f>C53</f>
        <v>24</v>
      </c>
      <c r="G53" s="58"/>
      <c r="H53" s="45"/>
      <c r="I53" s="46"/>
      <c r="J53" s="44"/>
      <c r="K53" s="45"/>
      <c r="L53" s="46"/>
      <c r="M53" s="44"/>
      <c r="N53" s="45"/>
      <c r="O53" s="46"/>
      <c r="P53" s="50"/>
      <c r="Q53" s="51"/>
      <c r="R53" s="52"/>
      <c r="S53" s="50"/>
      <c r="T53" s="51"/>
      <c r="U53" s="52"/>
      <c r="V53" s="50"/>
      <c r="W53" s="51"/>
      <c r="X53" s="52"/>
      <c r="Y53" s="50"/>
      <c r="Z53" s="51"/>
      <c r="AA53" s="52"/>
      <c r="AB53" s="50"/>
      <c r="AC53" s="51"/>
      <c r="AD53" s="52"/>
      <c r="AE53" s="50"/>
      <c r="AF53" s="51"/>
      <c r="AG53" s="52"/>
      <c r="AH53" s="39"/>
      <c r="AI53" s="2"/>
      <c r="AJ53" s="33"/>
      <c r="AK53" s="39"/>
      <c r="AL53" s="2"/>
      <c r="AM53" s="33"/>
      <c r="AN53" s="39"/>
      <c r="AO53" s="2"/>
      <c r="AP53" s="33"/>
      <c r="AQ53" s="39"/>
      <c r="AR53" s="2"/>
      <c r="AS53" s="33"/>
      <c r="AT53" s="39"/>
      <c r="AU53" s="2"/>
      <c r="AV53" s="33"/>
      <c r="AW53" s="39"/>
      <c r="AX53" s="2"/>
      <c r="AY53" s="33"/>
      <c r="AZ53" s="39"/>
      <c r="BA53" s="2"/>
      <c r="BB53" s="33"/>
      <c r="BC53" s="39"/>
      <c r="BD53" s="2"/>
      <c r="BE53" s="33"/>
      <c r="BF53" s="39"/>
      <c r="BG53" s="2"/>
      <c r="BH53" s="33"/>
      <c r="BI53" s="39"/>
      <c r="BJ53" s="2"/>
      <c r="BK53" s="33"/>
      <c r="BL53" s="39"/>
      <c r="BM53" s="2"/>
      <c r="BN53" s="33"/>
      <c r="BO53" s="39"/>
      <c r="BP53" s="2"/>
      <c r="BQ53" s="33"/>
      <c r="BR53" s="39"/>
      <c r="BS53" s="2"/>
      <c r="BT53" s="33"/>
      <c r="BU53" s="39">
        <v>4</v>
      </c>
      <c r="BV53" s="2">
        <v>4</v>
      </c>
      <c r="BW53" s="33">
        <v>4</v>
      </c>
      <c r="BX53" s="39">
        <v>6</v>
      </c>
      <c r="BY53" s="2">
        <v>6</v>
      </c>
      <c r="BZ53" s="33">
        <v>6</v>
      </c>
      <c r="CA53" s="39">
        <v>6</v>
      </c>
      <c r="CB53" s="2">
        <v>6</v>
      </c>
      <c r="CC53" s="33">
        <v>6</v>
      </c>
      <c r="CD53" s="39">
        <v>6</v>
      </c>
      <c r="CE53" s="2">
        <v>6</v>
      </c>
      <c r="CF53" s="33">
        <v>6</v>
      </c>
      <c r="CG53" s="39">
        <v>2</v>
      </c>
      <c r="CH53" s="2">
        <v>2</v>
      </c>
      <c r="CI53" s="33">
        <v>2</v>
      </c>
      <c r="CJ53" s="39"/>
      <c r="CK53" s="2"/>
      <c r="CL53" s="33"/>
      <c r="CM53" s="39"/>
      <c r="CN53" s="2"/>
      <c r="CO53" s="33"/>
      <c r="CP53" s="39"/>
      <c r="CQ53" s="2"/>
      <c r="CR53" s="33"/>
      <c r="CS53" s="39"/>
      <c r="CT53" s="2"/>
      <c r="CU53" s="33"/>
      <c r="CV53" s="39"/>
      <c r="CW53" s="2"/>
      <c r="CX53" s="33"/>
      <c r="CY53" s="39"/>
      <c r="CZ53" s="2"/>
      <c r="DA53" s="33"/>
      <c r="DB53" s="39"/>
      <c r="DC53" s="2"/>
      <c r="DD53" s="33"/>
      <c r="DE53" s="39"/>
      <c r="DF53" s="2"/>
      <c r="DG53" s="2"/>
      <c r="DH53" s="66">
        <f t="shared" si="9"/>
        <v>72</v>
      </c>
    </row>
    <row r="54" spans="2:112" x14ac:dyDescent="0.25">
      <c r="B54" s="8" t="s">
        <v>7</v>
      </c>
      <c r="C54" s="11">
        <v>24</v>
      </c>
      <c r="D54" s="16">
        <f t="shared" si="7"/>
        <v>24</v>
      </c>
      <c r="E54" s="4">
        <f t="shared" si="8"/>
        <v>24</v>
      </c>
      <c r="F54" s="22"/>
      <c r="G54" s="58"/>
      <c r="H54" s="45"/>
      <c r="I54" s="46"/>
      <c r="J54" s="44"/>
      <c r="K54" s="45"/>
      <c r="L54" s="46"/>
      <c r="M54" s="44"/>
      <c r="N54" s="45"/>
      <c r="O54" s="46"/>
      <c r="P54" s="50"/>
      <c r="Q54" s="51"/>
      <c r="R54" s="52"/>
      <c r="S54" s="50"/>
      <c r="T54" s="51"/>
      <c r="U54" s="52"/>
      <c r="V54" s="50"/>
      <c r="W54" s="51"/>
      <c r="X54" s="52"/>
      <c r="Y54" s="50"/>
      <c r="Z54" s="51"/>
      <c r="AA54" s="52"/>
      <c r="AB54" s="50"/>
      <c r="AC54" s="51"/>
      <c r="AD54" s="52"/>
      <c r="AE54" s="50"/>
      <c r="AF54" s="51"/>
      <c r="AG54" s="52"/>
      <c r="AH54" s="39"/>
      <c r="AI54" s="2"/>
      <c r="AJ54" s="33"/>
      <c r="AK54" s="39"/>
      <c r="AL54" s="2"/>
      <c r="AM54" s="33"/>
      <c r="AN54" s="39"/>
      <c r="AO54" s="2"/>
      <c r="AP54" s="33"/>
      <c r="AQ54" s="39"/>
      <c r="AR54" s="2"/>
      <c r="AS54" s="33"/>
      <c r="AT54" s="39"/>
      <c r="AU54" s="2"/>
      <c r="AV54" s="33"/>
      <c r="AW54" s="39"/>
      <c r="AX54" s="2"/>
      <c r="AY54" s="33"/>
      <c r="AZ54" s="39"/>
      <c r="BA54" s="2"/>
      <c r="BB54" s="33"/>
      <c r="BC54" s="39"/>
      <c r="BD54" s="2"/>
      <c r="BE54" s="33"/>
      <c r="BF54" s="39"/>
      <c r="BG54" s="2"/>
      <c r="BH54" s="33"/>
      <c r="BI54" s="39"/>
      <c r="BJ54" s="2"/>
      <c r="BK54" s="33"/>
      <c r="BL54" s="39">
        <v>4</v>
      </c>
      <c r="BM54" s="2">
        <v>4</v>
      </c>
      <c r="BN54" s="33"/>
      <c r="BO54" s="39">
        <v>9</v>
      </c>
      <c r="BP54" s="2">
        <v>9</v>
      </c>
      <c r="BQ54" s="33"/>
      <c r="BR54" s="39">
        <v>9</v>
      </c>
      <c r="BS54" s="2">
        <v>9</v>
      </c>
      <c r="BT54" s="33"/>
      <c r="BU54" s="39">
        <v>2</v>
      </c>
      <c r="BV54" s="2">
        <v>2</v>
      </c>
      <c r="BW54" s="33"/>
      <c r="BX54" s="39"/>
      <c r="BY54" s="2"/>
      <c r="BZ54" s="33"/>
      <c r="CA54" s="39"/>
      <c r="CB54" s="2"/>
      <c r="CC54" s="33"/>
      <c r="CD54" s="39"/>
      <c r="CE54" s="2"/>
      <c r="CF54" s="33"/>
      <c r="CG54" s="39"/>
      <c r="CH54" s="2"/>
      <c r="CI54" s="33"/>
      <c r="CJ54" s="39"/>
      <c r="CK54" s="2"/>
      <c r="CL54" s="33"/>
      <c r="CM54" s="39"/>
      <c r="CN54" s="2"/>
      <c r="CO54" s="33"/>
      <c r="CP54" s="39"/>
      <c r="CQ54" s="2"/>
      <c r="CR54" s="33"/>
      <c r="CS54" s="39"/>
      <c r="CT54" s="2"/>
      <c r="CU54" s="33"/>
      <c r="CV54" s="39"/>
      <c r="CW54" s="2"/>
      <c r="CX54" s="33"/>
      <c r="CY54" s="39"/>
      <c r="CZ54" s="2"/>
      <c r="DA54" s="33"/>
      <c r="DB54" s="39"/>
      <c r="DC54" s="2"/>
      <c r="DD54" s="33"/>
      <c r="DE54" s="39"/>
      <c r="DF54" s="2"/>
      <c r="DG54" s="2"/>
      <c r="DH54" s="66">
        <f t="shared" si="9"/>
        <v>48</v>
      </c>
    </row>
    <row r="55" spans="2:112" x14ac:dyDescent="0.25">
      <c r="B55" s="8" t="s">
        <v>24</v>
      </c>
      <c r="C55" s="11">
        <v>24</v>
      </c>
      <c r="D55" s="16">
        <f t="shared" si="7"/>
        <v>24</v>
      </c>
      <c r="E55" s="4">
        <f t="shared" si="8"/>
        <v>24</v>
      </c>
      <c r="F55" s="22"/>
      <c r="G55" s="58"/>
      <c r="H55" s="45"/>
      <c r="I55" s="46"/>
      <c r="J55" s="44"/>
      <c r="K55" s="45"/>
      <c r="L55" s="46"/>
      <c r="M55" s="44"/>
      <c r="N55" s="45"/>
      <c r="O55" s="46"/>
      <c r="P55" s="50">
        <v>4</v>
      </c>
      <c r="Q55" s="51">
        <v>4</v>
      </c>
      <c r="R55" s="52"/>
      <c r="S55" s="39">
        <v>9</v>
      </c>
      <c r="T55" s="2">
        <v>9</v>
      </c>
      <c r="U55" s="33"/>
      <c r="V55" s="39">
        <v>9</v>
      </c>
      <c r="W55" s="2">
        <v>9</v>
      </c>
      <c r="X55" s="33"/>
      <c r="Y55" s="39">
        <v>2</v>
      </c>
      <c r="Z55" s="2">
        <v>2</v>
      </c>
      <c r="AA55" s="52"/>
      <c r="AB55" s="50"/>
      <c r="AC55" s="51"/>
      <c r="AD55" s="52"/>
      <c r="AE55" s="50"/>
      <c r="AF55" s="51"/>
      <c r="AG55" s="52"/>
      <c r="AH55" s="39"/>
      <c r="AI55" s="2"/>
      <c r="AJ55" s="33"/>
      <c r="AK55" s="39"/>
      <c r="AL55" s="2"/>
      <c r="AM55" s="33"/>
      <c r="AN55" s="39"/>
      <c r="AO55" s="2"/>
      <c r="AP55" s="33"/>
      <c r="AQ55" s="39"/>
      <c r="AR55" s="2"/>
      <c r="AS55" s="33"/>
      <c r="AT55" s="39"/>
      <c r="AU55" s="2"/>
      <c r="AV55" s="33"/>
      <c r="AW55" s="39"/>
      <c r="AX55" s="2"/>
      <c r="AY55" s="33"/>
      <c r="AZ55" s="39"/>
      <c r="BA55" s="2"/>
      <c r="BB55" s="33"/>
      <c r="BC55" s="39"/>
      <c r="BD55" s="2"/>
      <c r="BE55" s="33"/>
      <c r="BF55" s="39"/>
      <c r="BG55" s="2"/>
      <c r="BH55" s="33"/>
      <c r="BI55" s="39"/>
      <c r="BJ55" s="2"/>
      <c r="BK55" s="33"/>
      <c r="BL55" s="39"/>
      <c r="BM55" s="2"/>
      <c r="BN55" s="33"/>
      <c r="BO55" s="39"/>
      <c r="BP55" s="2"/>
      <c r="BQ55" s="33"/>
      <c r="BR55" s="39"/>
      <c r="BS55" s="2"/>
      <c r="BT55" s="33"/>
      <c r="BU55" s="39"/>
      <c r="BV55" s="2"/>
      <c r="BW55" s="33"/>
      <c r="BX55" s="39"/>
      <c r="BY55" s="2"/>
      <c r="BZ55" s="33"/>
      <c r="CA55" s="39"/>
      <c r="CB55" s="2"/>
      <c r="CC55" s="33"/>
      <c r="CD55" s="39"/>
      <c r="CE55" s="2"/>
      <c r="CF55" s="33"/>
      <c r="CG55" s="39"/>
      <c r="CH55" s="2"/>
      <c r="CI55" s="33"/>
      <c r="CJ55" s="39"/>
      <c r="CK55" s="2"/>
      <c r="CL55" s="33"/>
      <c r="CM55" s="39"/>
      <c r="CN55" s="2"/>
      <c r="CO55" s="33"/>
      <c r="CP55" s="39"/>
      <c r="CQ55" s="2"/>
      <c r="CR55" s="33"/>
      <c r="CS55" s="39"/>
      <c r="CT55" s="2"/>
      <c r="CU55" s="33"/>
      <c r="CV55" s="39"/>
      <c r="CW55" s="2"/>
      <c r="CX55" s="33"/>
      <c r="CY55" s="39"/>
      <c r="CZ55" s="2"/>
      <c r="DA55" s="33"/>
      <c r="DB55" s="39"/>
      <c r="DC55" s="2"/>
      <c r="DD55" s="33"/>
      <c r="DE55" s="39"/>
      <c r="DF55" s="2"/>
      <c r="DG55" s="2"/>
      <c r="DH55" s="66">
        <f>SUM(G55:DG55)</f>
        <v>48</v>
      </c>
    </row>
    <row r="56" spans="2:112" x14ac:dyDescent="0.25">
      <c r="B56" s="8" t="s">
        <v>25</v>
      </c>
      <c r="C56" s="11">
        <v>24</v>
      </c>
      <c r="D56" s="16">
        <f t="shared" si="7"/>
        <v>24</v>
      </c>
      <c r="E56" s="4">
        <f t="shared" si="8"/>
        <v>24</v>
      </c>
      <c r="F56" s="22"/>
      <c r="G56" s="58"/>
      <c r="H56" s="45"/>
      <c r="I56" s="46"/>
      <c r="J56" s="44"/>
      <c r="K56" s="45"/>
      <c r="L56" s="46"/>
      <c r="M56" s="44"/>
      <c r="N56" s="45"/>
      <c r="O56" s="46"/>
      <c r="P56" s="50"/>
      <c r="Q56" s="51"/>
      <c r="R56" s="52"/>
      <c r="S56" s="50"/>
      <c r="T56" s="51"/>
      <c r="U56" s="52"/>
      <c r="V56" s="50"/>
      <c r="W56" s="51"/>
      <c r="X56" s="52"/>
      <c r="Y56" s="39">
        <v>7</v>
      </c>
      <c r="Z56" s="2">
        <v>7</v>
      </c>
      <c r="AA56" s="33"/>
      <c r="AB56" s="39">
        <v>9</v>
      </c>
      <c r="AC56" s="2">
        <v>9</v>
      </c>
      <c r="AD56" s="33"/>
      <c r="AE56" s="39">
        <v>8</v>
      </c>
      <c r="AF56" s="2">
        <v>8</v>
      </c>
      <c r="AG56" s="33"/>
      <c r="AH56" s="39"/>
      <c r="AI56" s="2"/>
      <c r="AJ56" s="33"/>
      <c r="AK56" s="39"/>
      <c r="AL56" s="2"/>
      <c r="AM56" s="33"/>
      <c r="AN56" s="39"/>
      <c r="AO56" s="2"/>
      <c r="AP56" s="33"/>
      <c r="AQ56" s="39"/>
      <c r="AR56" s="2"/>
      <c r="AS56" s="33"/>
      <c r="AT56" s="39"/>
      <c r="AU56" s="2"/>
      <c r="AV56" s="33"/>
      <c r="AW56" s="39"/>
      <c r="AX56" s="2"/>
      <c r="AY56" s="33"/>
      <c r="AZ56" s="39"/>
      <c r="BA56" s="2"/>
      <c r="BB56" s="33"/>
      <c r="BC56" s="39"/>
      <c r="BD56" s="2"/>
      <c r="BE56" s="33"/>
      <c r="BF56" s="39"/>
      <c r="BG56" s="2"/>
      <c r="BH56" s="33"/>
      <c r="BI56" s="39"/>
      <c r="BJ56" s="2"/>
      <c r="BK56" s="33"/>
      <c r="BL56" s="39"/>
      <c r="BM56" s="2"/>
      <c r="BN56" s="33"/>
      <c r="BO56" s="39"/>
      <c r="BP56" s="2"/>
      <c r="BQ56" s="33"/>
      <c r="BR56" s="39"/>
      <c r="BS56" s="2"/>
      <c r="BT56" s="33"/>
      <c r="BU56" s="39"/>
      <c r="BV56" s="2"/>
      <c r="BW56" s="33"/>
      <c r="BX56" s="39"/>
      <c r="BY56" s="2"/>
      <c r="BZ56" s="33"/>
      <c r="CA56" s="39"/>
      <c r="CB56" s="2"/>
      <c r="CC56" s="33"/>
      <c r="CD56" s="39"/>
      <c r="CE56" s="2"/>
      <c r="CF56" s="33"/>
      <c r="CG56" s="39"/>
      <c r="CH56" s="2"/>
      <c r="CI56" s="33"/>
      <c r="CJ56" s="39"/>
      <c r="CK56" s="2"/>
      <c r="CL56" s="33"/>
      <c r="CM56" s="39"/>
      <c r="CN56" s="2"/>
      <c r="CO56" s="33"/>
      <c r="CP56" s="39"/>
      <c r="CQ56" s="2"/>
      <c r="CR56" s="33"/>
      <c r="CS56" s="39"/>
      <c r="CT56" s="2"/>
      <c r="CU56" s="33"/>
      <c r="CV56" s="39"/>
      <c r="CW56" s="2"/>
      <c r="CX56" s="33"/>
      <c r="CY56" s="39"/>
      <c r="CZ56" s="2"/>
      <c r="DA56" s="33"/>
      <c r="DB56" s="39"/>
      <c r="DC56" s="2"/>
      <c r="DD56" s="33"/>
      <c r="DE56" s="39"/>
      <c r="DF56" s="2"/>
      <c r="DG56" s="2"/>
      <c r="DH56" s="66">
        <f t="shared" si="9"/>
        <v>48</v>
      </c>
    </row>
    <row r="57" spans="2:112" x14ac:dyDescent="0.25">
      <c r="B57" s="8" t="s">
        <v>26</v>
      </c>
      <c r="C57" s="11">
        <v>24</v>
      </c>
      <c r="D57" s="16">
        <f t="shared" si="7"/>
        <v>24</v>
      </c>
      <c r="E57" s="4">
        <f t="shared" si="8"/>
        <v>24</v>
      </c>
      <c r="F57" s="22"/>
      <c r="G57" s="58"/>
      <c r="H57" s="45"/>
      <c r="I57" s="46"/>
      <c r="J57" s="44"/>
      <c r="K57" s="45"/>
      <c r="L57" s="46"/>
      <c r="M57" s="44"/>
      <c r="N57" s="45"/>
      <c r="O57" s="46"/>
      <c r="P57" s="50"/>
      <c r="Q57" s="51"/>
      <c r="R57" s="52"/>
      <c r="S57" s="50"/>
      <c r="T57" s="51"/>
      <c r="U57" s="52"/>
      <c r="V57" s="50"/>
      <c r="W57" s="51"/>
      <c r="X57" s="52"/>
      <c r="Y57" s="50"/>
      <c r="Z57" s="51"/>
      <c r="AA57" s="52"/>
      <c r="AB57" s="50"/>
      <c r="AC57" s="51"/>
      <c r="AD57" s="52"/>
      <c r="AE57" s="50">
        <v>1</v>
      </c>
      <c r="AF57" s="51">
        <v>1</v>
      </c>
      <c r="AG57" s="52"/>
      <c r="AH57" s="39">
        <v>6</v>
      </c>
      <c r="AI57" s="2">
        <v>6</v>
      </c>
      <c r="AJ57" s="33"/>
      <c r="AK57" s="39">
        <v>9</v>
      </c>
      <c r="AL57" s="2">
        <v>9</v>
      </c>
      <c r="AM57" s="33"/>
      <c r="AN57" s="39">
        <v>8</v>
      </c>
      <c r="AO57" s="2">
        <v>8</v>
      </c>
      <c r="AP57" s="33"/>
      <c r="AQ57" s="39"/>
      <c r="AR57" s="2"/>
      <c r="AS57" s="33"/>
      <c r="AT57" s="39"/>
      <c r="AU57" s="2"/>
      <c r="AV57" s="33"/>
      <c r="AW57" s="39"/>
      <c r="AX57" s="2"/>
      <c r="AY57" s="33"/>
      <c r="AZ57" s="39"/>
      <c r="BA57" s="2"/>
      <c r="BB57" s="33"/>
      <c r="BC57" s="39"/>
      <c r="BD57" s="2"/>
      <c r="BE57" s="33"/>
      <c r="BF57" s="39"/>
      <c r="BG57" s="2"/>
      <c r="BH57" s="33"/>
      <c r="BI57" s="39"/>
      <c r="BJ57" s="2"/>
      <c r="BK57" s="33"/>
      <c r="BL57" s="39"/>
      <c r="BM57" s="2"/>
      <c r="BN57" s="33"/>
      <c r="BO57" s="39"/>
      <c r="BP57" s="2"/>
      <c r="BQ57" s="33"/>
      <c r="BR57" s="39"/>
      <c r="BS57" s="2"/>
      <c r="BT57" s="33"/>
      <c r="BU57" s="39"/>
      <c r="BV57" s="2"/>
      <c r="BW57" s="33"/>
      <c r="BX57" s="39"/>
      <c r="BY57" s="2"/>
      <c r="BZ57" s="33"/>
      <c r="CA57" s="39"/>
      <c r="CB57" s="2"/>
      <c r="CC57" s="33"/>
      <c r="CD57" s="39"/>
      <c r="CE57" s="2"/>
      <c r="CF57" s="33"/>
      <c r="CG57" s="39"/>
      <c r="CH57" s="2"/>
      <c r="CI57" s="33"/>
      <c r="CJ57" s="39"/>
      <c r="CK57" s="2"/>
      <c r="CL57" s="33"/>
      <c r="CM57" s="39"/>
      <c r="CN57" s="2"/>
      <c r="CO57" s="33"/>
      <c r="CP57" s="39"/>
      <c r="CQ57" s="2"/>
      <c r="CR57" s="33"/>
      <c r="CS57" s="39"/>
      <c r="CT57" s="2"/>
      <c r="CU57" s="33"/>
      <c r="CV57" s="39"/>
      <c r="CW57" s="2"/>
      <c r="CX57" s="33"/>
      <c r="CY57" s="39"/>
      <c r="CZ57" s="2"/>
      <c r="DA57" s="33"/>
      <c r="DB57" s="39"/>
      <c r="DC57" s="2"/>
      <c r="DD57" s="33"/>
      <c r="DE57" s="39"/>
      <c r="DF57" s="2"/>
      <c r="DG57" s="2"/>
      <c r="DH57" s="66">
        <f t="shared" si="9"/>
        <v>48</v>
      </c>
    </row>
    <row r="58" spans="2:112" ht="15.75" thickBot="1" x14ac:dyDescent="0.3">
      <c r="B58" s="9" t="s">
        <v>9</v>
      </c>
      <c r="C58" s="12">
        <v>24</v>
      </c>
      <c r="D58" s="18">
        <f t="shared" si="7"/>
        <v>24</v>
      </c>
      <c r="E58" s="6">
        <f t="shared" si="8"/>
        <v>24</v>
      </c>
      <c r="F58" s="23"/>
      <c r="G58" s="59"/>
      <c r="H58" s="48"/>
      <c r="I58" s="49"/>
      <c r="J58" s="47"/>
      <c r="K58" s="48"/>
      <c r="L58" s="49"/>
      <c r="M58" s="47"/>
      <c r="N58" s="48"/>
      <c r="O58" s="49"/>
      <c r="P58" s="53"/>
      <c r="Q58" s="54"/>
      <c r="R58" s="55"/>
      <c r="S58" s="53"/>
      <c r="T58" s="54"/>
      <c r="U58" s="55"/>
      <c r="V58" s="53"/>
      <c r="W58" s="54"/>
      <c r="X58" s="55"/>
      <c r="Y58" s="53"/>
      <c r="Z58" s="54"/>
      <c r="AA58" s="55"/>
      <c r="AB58" s="53"/>
      <c r="AC58" s="54"/>
      <c r="AD58" s="55"/>
      <c r="AE58" s="53"/>
      <c r="AF58" s="54"/>
      <c r="AG58" s="55"/>
      <c r="AH58" s="43"/>
      <c r="AI58" s="41"/>
      <c r="AJ58" s="42"/>
      <c r="AK58" s="43"/>
      <c r="AL58" s="41"/>
      <c r="AM58" s="42"/>
      <c r="AN58" s="43">
        <v>1</v>
      </c>
      <c r="AO58" s="41">
        <v>1</v>
      </c>
      <c r="AP58" s="42"/>
      <c r="AQ58" s="43">
        <v>9</v>
      </c>
      <c r="AR58" s="41">
        <v>9</v>
      </c>
      <c r="AS58" s="42"/>
      <c r="AT58" s="43">
        <v>9</v>
      </c>
      <c r="AU58" s="41">
        <v>9</v>
      </c>
      <c r="AV58" s="42"/>
      <c r="AW58" s="43">
        <v>5</v>
      </c>
      <c r="AX58" s="41">
        <v>5</v>
      </c>
      <c r="AY58" s="42"/>
      <c r="AZ58" s="43"/>
      <c r="BA58" s="41"/>
      <c r="BB58" s="42"/>
      <c r="BC58" s="43"/>
      <c r="BD58" s="41"/>
      <c r="BE58" s="42"/>
      <c r="BF58" s="43"/>
      <c r="BG58" s="41"/>
      <c r="BH58" s="42"/>
      <c r="BI58" s="43"/>
      <c r="BJ58" s="41"/>
      <c r="BK58" s="42"/>
      <c r="BL58" s="43"/>
      <c r="BM58" s="41"/>
      <c r="BN58" s="42"/>
      <c r="BO58" s="43"/>
      <c r="BP58" s="41"/>
      <c r="BQ58" s="42"/>
      <c r="BR58" s="43"/>
      <c r="BS58" s="41"/>
      <c r="BT58" s="42"/>
      <c r="BU58" s="43"/>
      <c r="BV58" s="41"/>
      <c r="BW58" s="42"/>
      <c r="BX58" s="43"/>
      <c r="BY58" s="41"/>
      <c r="BZ58" s="42"/>
      <c r="CA58" s="43"/>
      <c r="CB58" s="41"/>
      <c r="CC58" s="42"/>
      <c r="CD58" s="43"/>
      <c r="CE58" s="41"/>
      <c r="CF58" s="42"/>
      <c r="CG58" s="43"/>
      <c r="CH58" s="41"/>
      <c r="CI58" s="42"/>
      <c r="CJ58" s="43"/>
      <c r="CK58" s="41"/>
      <c r="CL58" s="42"/>
      <c r="CM58" s="43"/>
      <c r="CN58" s="41"/>
      <c r="CO58" s="42"/>
      <c r="CP58" s="43"/>
      <c r="CQ58" s="41"/>
      <c r="CR58" s="42"/>
      <c r="CS58" s="43"/>
      <c r="CT58" s="41"/>
      <c r="CU58" s="42"/>
      <c r="CV58" s="43"/>
      <c r="CW58" s="41"/>
      <c r="CX58" s="42"/>
      <c r="CY58" s="43"/>
      <c r="CZ58" s="41"/>
      <c r="DA58" s="42"/>
      <c r="DB58" s="43"/>
      <c r="DC58" s="41"/>
      <c r="DD58" s="42"/>
      <c r="DE58" s="43"/>
      <c r="DF58" s="41"/>
      <c r="DG58" s="41"/>
      <c r="DH58" s="66">
        <f t="shared" si="9"/>
        <v>48</v>
      </c>
    </row>
    <row r="59" spans="2:112" ht="16.5" thickTop="1" thickBot="1" x14ac:dyDescent="0.3">
      <c r="B59" s="7" t="s">
        <v>28</v>
      </c>
      <c r="C59" s="13">
        <f>SUM(C51:C58)</f>
        <v>192</v>
      </c>
      <c r="D59" s="20">
        <f t="shared" ref="D59:F59" si="10">SUM(D51:D58)</f>
        <v>192</v>
      </c>
      <c r="E59" s="7">
        <f t="shared" si="10"/>
        <v>192</v>
      </c>
      <c r="F59" s="21">
        <f t="shared" si="10"/>
        <v>72</v>
      </c>
      <c r="G59" s="20">
        <f>SUM(G51:G58)</f>
        <v>0</v>
      </c>
      <c r="H59" s="7">
        <f>SUM(H51:H58)</f>
        <v>0</v>
      </c>
      <c r="I59" s="7">
        <f t="shared" ref="I59:BT59" si="11">SUM(I51:I58)</f>
        <v>0</v>
      </c>
      <c r="J59" s="7">
        <f t="shared" si="11"/>
        <v>0</v>
      </c>
      <c r="K59" s="7">
        <f t="shared" si="11"/>
        <v>0</v>
      </c>
      <c r="L59" s="7">
        <f t="shared" si="11"/>
        <v>0</v>
      </c>
      <c r="M59" s="7">
        <f t="shared" si="11"/>
        <v>0</v>
      </c>
      <c r="N59" s="7">
        <f t="shared" si="11"/>
        <v>0</v>
      </c>
      <c r="O59" s="7">
        <f t="shared" si="11"/>
        <v>0</v>
      </c>
      <c r="P59" s="7">
        <f t="shared" si="11"/>
        <v>4</v>
      </c>
      <c r="Q59" s="7">
        <f t="shared" si="11"/>
        <v>4</v>
      </c>
      <c r="R59" s="7">
        <f t="shared" si="11"/>
        <v>0</v>
      </c>
      <c r="S59" s="7">
        <f t="shared" si="11"/>
        <v>9</v>
      </c>
      <c r="T59" s="7">
        <f t="shared" si="11"/>
        <v>9</v>
      </c>
      <c r="U59" s="7">
        <f t="shared" si="11"/>
        <v>0</v>
      </c>
      <c r="V59" s="7">
        <f t="shared" si="11"/>
        <v>9</v>
      </c>
      <c r="W59" s="7">
        <f t="shared" si="11"/>
        <v>9</v>
      </c>
      <c r="X59" s="7">
        <f t="shared" si="11"/>
        <v>0</v>
      </c>
      <c r="Y59" s="7">
        <f t="shared" si="11"/>
        <v>9</v>
      </c>
      <c r="Z59" s="7">
        <f t="shared" si="11"/>
        <v>9</v>
      </c>
      <c r="AA59" s="7">
        <f t="shared" si="11"/>
        <v>0</v>
      </c>
      <c r="AB59" s="7">
        <f t="shared" si="11"/>
        <v>9</v>
      </c>
      <c r="AC59" s="7">
        <f t="shared" si="11"/>
        <v>9</v>
      </c>
      <c r="AD59" s="7">
        <f t="shared" si="11"/>
        <v>0</v>
      </c>
      <c r="AE59" s="7">
        <f t="shared" si="11"/>
        <v>9</v>
      </c>
      <c r="AF59" s="7">
        <f t="shared" si="11"/>
        <v>9</v>
      </c>
      <c r="AG59" s="7">
        <f t="shared" si="11"/>
        <v>0</v>
      </c>
      <c r="AH59" s="7">
        <f t="shared" si="11"/>
        <v>6</v>
      </c>
      <c r="AI59" s="7">
        <f t="shared" si="11"/>
        <v>6</v>
      </c>
      <c r="AJ59" s="7">
        <f t="shared" si="11"/>
        <v>0</v>
      </c>
      <c r="AK59" s="7">
        <f t="shared" si="11"/>
        <v>9</v>
      </c>
      <c r="AL59" s="7">
        <f t="shared" si="11"/>
        <v>9</v>
      </c>
      <c r="AM59" s="7">
        <f t="shared" si="11"/>
        <v>0</v>
      </c>
      <c r="AN59" s="7">
        <f t="shared" si="11"/>
        <v>9</v>
      </c>
      <c r="AO59" s="7">
        <f t="shared" si="11"/>
        <v>9</v>
      </c>
      <c r="AP59" s="7">
        <f t="shared" si="11"/>
        <v>0</v>
      </c>
      <c r="AQ59" s="7">
        <f t="shared" si="11"/>
        <v>9</v>
      </c>
      <c r="AR59" s="7">
        <f t="shared" si="11"/>
        <v>9</v>
      </c>
      <c r="AS59" s="7">
        <f t="shared" si="11"/>
        <v>0</v>
      </c>
      <c r="AT59" s="7">
        <f t="shared" si="11"/>
        <v>9</v>
      </c>
      <c r="AU59" s="7">
        <f t="shared" si="11"/>
        <v>9</v>
      </c>
      <c r="AV59" s="7">
        <f t="shared" si="11"/>
        <v>0</v>
      </c>
      <c r="AW59" s="7">
        <f t="shared" si="11"/>
        <v>5</v>
      </c>
      <c r="AX59" s="7">
        <f t="shared" si="11"/>
        <v>5</v>
      </c>
      <c r="AY59" s="7">
        <f t="shared" si="11"/>
        <v>0</v>
      </c>
      <c r="AZ59" s="7">
        <f t="shared" si="11"/>
        <v>0</v>
      </c>
      <c r="BA59" s="7">
        <f t="shared" si="11"/>
        <v>0</v>
      </c>
      <c r="BB59" s="7">
        <f t="shared" si="11"/>
        <v>0</v>
      </c>
      <c r="BC59" s="7">
        <f t="shared" si="11"/>
        <v>0</v>
      </c>
      <c r="BD59" s="7">
        <f t="shared" si="11"/>
        <v>0</v>
      </c>
      <c r="BE59" s="7">
        <f t="shared" si="11"/>
        <v>0</v>
      </c>
      <c r="BF59" s="7">
        <f t="shared" si="11"/>
        <v>0</v>
      </c>
      <c r="BG59" s="7">
        <f t="shared" si="11"/>
        <v>0</v>
      </c>
      <c r="BH59" s="7">
        <f t="shared" si="11"/>
        <v>0</v>
      </c>
      <c r="BI59" s="7">
        <f t="shared" si="11"/>
        <v>0</v>
      </c>
      <c r="BJ59" s="7">
        <f t="shared" si="11"/>
        <v>0</v>
      </c>
      <c r="BK59" s="7">
        <f t="shared" si="11"/>
        <v>0</v>
      </c>
      <c r="BL59" s="7">
        <f t="shared" si="11"/>
        <v>4</v>
      </c>
      <c r="BM59" s="7">
        <f t="shared" si="11"/>
        <v>4</v>
      </c>
      <c r="BN59" s="7">
        <f t="shared" si="11"/>
        <v>0</v>
      </c>
      <c r="BO59" s="7">
        <f t="shared" si="11"/>
        <v>9</v>
      </c>
      <c r="BP59" s="7">
        <f t="shared" si="11"/>
        <v>9</v>
      </c>
      <c r="BQ59" s="7">
        <f t="shared" si="11"/>
        <v>0</v>
      </c>
      <c r="BR59" s="7">
        <f t="shared" si="11"/>
        <v>9</v>
      </c>
      <c r="BS59" s="7">
        <f t="shared" si="11"/>
        <v>9</v>
      </c>
      <c r="BT59" s="7">
        <f t="shared" si="11"/>
        <v>0</v>
      </c>
      <c r="BU59" s="7">
        <f t="shared" ref="BU59:DG59" si="12">SUM(BU51:BU58)</f>
        <v>6</v>
      </c>
      <c r="BV59" s="7">
        <f t="shared" si="12"/>
        <v>6</v>
      </c>
      <c r="BW59" s="7">
        <f t="shared" si="12"/>
        <v>4</v>
      </c>
      <c r="BX59" s="7">
        <f t="shared" si="12"/>
        <v>6</v>
      </c>
      <c r="BY59" s="7">
        <f t="shared" si="12"/>
        <v>6</v>
      </c>
      <c r="BZ59" s="7">
        <f t="shared" si="12"/>
        <v>6</v>
      </c>
      <c r="CA59" s="7">
        <f t="shared" si="12"/>
        <v>6</v>
      </c>
      <c r="CB59" s="7">
        <f t="shared" si="12"/>
        <v>6</v>
      </c>
      <c r="CC59" s="7">
        <f t="shared" si="12"/>
        <v>6</v>
      </c>
      <c r="CD59" s="7">
        <f t="shared" si="12"/>
        <v>6</v>
      </c>
      <c r="CE59" s="7">
        <f t="shared" si="12"/>
        <v>6</v>
      </c>
      <c r="CF59" s="7">
        <f t="shared" si="12"/>
        <v>6</v>
      </c>
      <c r="CG59" s="7">
        <f t="shared" si="12"/>
        <v>6</v>
      </c>
      <c r="CH59" s="7">
        <f t="shared" si="12"/>
        <v>6</v>
      </c>
      <c r="CI59" s="7">
        <f t="shared" si="12"/>
        <v>6</v>
      </c>
      <c r="CJ59" s="7">
        <f t="shared" si="12"/>
        <v>6</v>
      </c>
      <c r="CK59" s="7">
        <f t="shared" si="12"/>
        <v>6</v>
      </c>
      <c r="CL59" s="7">
        <f t="shared" si="12"/>
        <v>6</v>
      </c>
      <c r="CM59" s="7">
        <f t="shared" si="12"/>
        <v>6</v>
      </c>
      <c r="CN59" s="7">
        <f t="shared" si="12"/>
        <v>6</v>
      </c>
      <c r="CO59" s="7">
        <f t="shared" si="12"/>
        <v>6</v>
      </c>
      <c r="CP59" s="7">
        <f t="shared" si="12"/>
        <v>6</v>
      </c>
      <c r="CQ59" s="7">
        <f t="shared" si="12"/>
        <v>6</v>
      </c>
      <c r="CR59" s="7">
        <f t="shared" si="12"/>
        <v>6</v>
      </c>
      <c r="CS59" s="7">
        <f t="shared" si="12"/>
        <v>6</v>
      </c>
      <c r="CT59" s="7">
        <f t="shared" si="12"/>
        <v>6</v>
      </c>
      <c r="CU59" s="7">
        <f t="shared" si="12"/>
        <v>6</v>
      </c>
      <c r="CV59" s="7">
        <f t="shared" si="12"/>
        <v>6</v>
      </c>
      <c r="CW59" s="7">
        <f t="shared" si="12"/>
        <v>6</v>
      </c>
      <c r="CX59" s="7">
        <f t="shared" si="12"/>
        <v>6</v>
      </c>
      <c r="CY59" s="7">
        <f t="shared" si="12"/>
        <v>6</v>
      </c>
      <c r="CZ59" s="7">
        <f t="shared" si="12"/>
        <v>6</v>
      </c>
      <c r="DA59" s="7">
        <f t="shared" si="12"/>
        <v>6</v>
      </c>
      <c r="DB59" s="7">
        <f t="shared" si="12"/>
        <v>6</v>
      </c>
      <c r="DC59" s="7">
        <f t="shared" si="12"/>
        <v>6</v>
      </c>
      <c r="DD59" s="7">
        <f t="shared" si="12"/>
        <v>6</v>
      </c>
      <c r="DE59" s="7">
        <f t="shared" si="12"/>
        <v>2</v>
      </c>
      <c r="DF59" s="7">
        <f t="shared" si="12"/>
        <v>2</v>
      </c>
      <c r="DG59" s="7">
        <f t="shared" si="12"/>
        <v>2</v>
      </c>
      <c r="DH59" s="65">
        <f>SUM(DH51:DH58)</f>
        <v>456</v>
      </c>
    </row>
    <row r="60" spans="2:112" ht="16.5" thickTop="1" thickBot="1" x14ac:dyDescent="0.3">
      <c r="B60" s="141" t="s">
        <v>39</v>
      </c>
      <c r="C60" s="141"/>
      <c r="D60" s="141"/>
      <c r="E60" s="141"/>
      <c r="F60" s="141"/>
      <c r="G60" s="142">
        <f>SUM(G59:I59,G46:I46,G25:I25)</f>
        <v>18</v>
      </c>
      <c r="H60" s="143"/>
      <c r="I60" s="144"/>
      <c r="J60" s="142">
        <f t="shared" ref="J60" si="13">SUM(J59:L59,J46:L46,J25:L25)</f>
        <v>18</v>
      </c>
      <c r="K60" s="143"/>
      <c r="L60" s="144"/>
      <c r="M60" s="142">
        <f t="shared" ref="M60" si="14">SUM(M59:O59,M46:O46,M25:O25)</f>
        <v>18</v>
      </c>
      <c r="N60" s="143"/>
      <c r="O60" s="144"/>
      <c r="P60" s="142">
        <f t="shared" ref="P60" si="15">SUM(P59:R59,P46:R46,P25:R25)</f>
        <v>17</v>
      </c>
      <c r="Q60" s="143"/>
      <c r="R60" s="144"/>
      <c r="S60" s="142">
        <f t="shared" ref="S60" si="16">SUM(S59:U59,S46:U46,S25:U25)</f>
        <v>18</v>
      </c>
      <c r="T60" s="143"/>
      <c r="U60" s="144"/>
      <c r="V60" s="142">
        <f t="shared" ref="V60" si="17">SUM(V59:X59,V46:X46,V25:X25)</f>
        <v>18</v>
      </c>
      <c r="W60" s="143"/>
      <c r="X60" s="144"/>
      <c r="Y60" s="142">
        <f t="shared" ref="Y60" si="18">SUM(Y59:AA59,Y46:AA46,Y25:AA25)</f>
        <v>18</v>
      </c>
      <c r="Z60" s="143"/>
      <c r="AA60" s="144"/>
      <c r="AB60" s="142">
        <f t="shared" ref="AB60" si="19">SUM(AB59:AD59,AB46:AD46,AB25:AD25)</f>
        <v>18</v>
      </c>
      <c r="AC60" s="143"/>
      <c r="AD60" s="144"/>
      <c r="AE60" s="142">
        <f t="shared" ref="AE60" si="20">SUM(AE59:AG59,AE46:AG46,AE25:AG25)</f>
        <v>18</v>
      </c>
      <c r="AF60" s="143"/>
      <c r="AG60" s="144"/>
      <c r="AH60" s="142">
        <f t="shared" ref="AH60" si="21">SUM(AH59:AJ59,AH46:AJ46,AH25:AJ25)</f>
        <v>12</v>
      </c>
      <c r="AI60" s="143"/>
      <c r="AJ60" s="144"/>
      <c r="AK60" s="142">
        <f t="shared" ref="AK60" si="22">SUM(AK59:AM59,AK46:AM46,AK25:AM25)</f>
        <v>18</v>
      </c>
      <c r="AL60" s="143"/>
      <c r="AM60" s="144"/>
      <c r="AN60" s="142">
        <f t="shared" ref="AN60" si="23">SUM(AN59:AP59,AN46:AP46,AN25:AP25)</f>
        <v>18</v>
      </c>
      <c r="AO60" s="143"/>
      <c r="AP60" s="144"/>
      <c r="AQ60" s="142">
        <f t="shared" ref="AQ60" si="24">SUM(AQ59:AS59,AQ46:AS46,AQ25:AS25)</f>
        <v>18</v>
      </c>
      <c r="AR60" s="143"/>
      <c r="AS60" s="144"/>
      <c r="AT60" s="142">
        <f t="shared" ref="AT60" si="25">SUM(AT59:AV59,AT46:AV46,AT25:AV25)</f>
        <v>18</v>
      </c>
      <c r="AU60" s="143"/>
      <c r="AV60" s="144"/>
      <c r="AW60" s="142">
        <f t="shared" ref="AW60" si="26">SUM(AW59:AY59,AW46:AY46,AW25:AY25)</f>
        <v>10</v>
      </c>
      <c r="AX60" s="143"/>
      <c r="AY60" s="144"/>
      <c r="AZ60" s="142">
        <f t="shared" ref="AZ60" si="27">SUM(AZ59:BB59,AZ46:BB46,AZ25:BB25)</f>
        <v>18</v>
      </c>
      <c r="BA60" s="143"/>
      <c r="BB60" s="144"/>
      <c r="BC60" s="142">
        <f t="shared" ref="BC60" si="28">SUM(BC59:BE59,BC46:BE46,BC25:BE25)</f>
        <v>18</v>
      </c>
      <c r="BD60" s="143"/>
      <c r="BE60" s="144"/>
      <c r="BF60" s="142">
        <f t="shared" ref="BF60" si="29">SUM(BF59:BH59,BF46:BH46,BF25:BH25)</f>
        <v>18</v>
      </c>
      <c r="BG60" s="143"/>
      <c r="BH60" s="144"/>
      <c r="BI60" s="142">
        <f t="shared" ref="BI60" si="30">SUM(BI59:BK59,BI46:BK46,BI25:BK25)</f>
        <v>18</v>
      </c>
      <c r="BJ60" s="143"/>
      <c r="BK60" s="144"/>
      <c r="BL60" s="142">
        <f t="shared" ref="BL60" si="31">SUM(BL59:BN59,BL46:BN46,BL25:BN25)</f>
        <v>17</v>
      </c>
      <c r="BM60" s="143"/>
      <c r="BN60" s="144"/>
      <c r="BO60" s="142">
        <f t="shared" ref="BO60" si="32">SUM(BO59:BQ59,BO46:BQ46,BO25:BQ25)</f>
        <v>18</v>
      </c>
      <c r="BP60" s="143"/>
      <c r="BQ60" s="144"/>
      <c r="BR60" s="142">
        <f t="shared" ref="BR60" si="33">SUM(BR59:BT59,BR46:BT46,BR25:BT25)</f>
        <v>18</v>
      </c>
      <c r="BS60" s="143"/>
      <c r="BT60" s="144"/>
      <c r="BU60" s="142">
        <f t="shared" ref="BU60" si="34">SUM(BU59:BW59,BU46:BW46,BU25:BW25)</f>
        <v>16</v>
      </c>
      <c r="BV60" s="143"/>
      <c r="BW60" s="144"/>
      <c r="BX60" s="142">
        <f t="shared" ref="BX60" si="35">SUM(BX59:BZ59,BX46:BZ46,BX25:BZ25)</f>
        <v>18</v>
      </c>
      <c r="BY60" s="143"/>
      <c r="BZ60" s="144"/>
      <c r="CA60" s="142">
        <f t="shared" ref="CA60" si="36">SUM(CA59:CC59,CA46:CC46,CA25:CC25)</f>
        <v>18</v>
      </c>
      <c r="CB60" s="143"/>
      <c r="CC60" s="144"/>
      <c r="CD60" s="142">
        <f t="shared" ref="CD60" si="37">SUM(CD59:CF59,CD46:CF46,CD25:CF25)</f>
        <v>18</v>
      </c>
      <c r="CE60" s="143"/>
      <c r="CF60" s="144"/>
      <c r="CG60" s="142">
        <f t="shared" ref="CG60" si="38">SUM(CG59:CI59,CG46:CI46,CG25:CI25)</f>
        <v>18</v>
      </c>
      <c r="CH60" s="143"/>
      <c r="CI60" s="144"/>
      <c r="CJ60" s="142">
        <f t="shared" ref="CJ60" si="39">SUM(CJ59:CL59,CJ46:CL46,CJ25:CL25)</f>
        <v>18</v>
      </c>
      <c r="CK60" s="143"/>
      <c r="CL60" s="144"/>
      <c r="CM60" s="142">
        <f t="shared" ref="CM60" si="40">SUM(CM59:CO59,CM46:CO46,CM25:CO25)</f>
        <v>18</v>
      </c>
      <c r="CN60" s="143"/>
      <c r="CO60" s="144"/>
      <c r="CP60" s="142">
        <f t="shared" ref="CP60" si="41">SUM(CP59:CR59,CP46:CR46,CP25:CR25)</f>
        <v>18</v>
      </c>
      <c r="CQ60" s="143"/>
      <c r="CR60" s="144"/>
      <c r="CS60" s="142">
        <f t="shared" ref="CS60" si="42">SUM(CS59:CU59,CS46:CU46,CS25:CU25)</f>
        <v>18</v>
      </c>
      <c r="CT60" s="143"/>
      <c r="CU60" s="144"/>
      <c r="CV60" s="142">
        <f t="shared" ref="CV60" si="43">SUM(CV59:CX59,CV46:CX46,CV25:CX25)</f>
        <v>18</v>
      </c>
      <c r="CW60" s="143"/>
      <c r="CX60" s="144"/>
      <c r="CY60" s="142">
        <f t="shared" ref="CY60" si="44">SUM(CY59:DA59,CY46:DA46,CY25:DA25)</f>
        <v>18</v>
      </c>
      <c r="CZ60" s="143"/>
      <c r="DA60" s="144"/>
      <c r="DB60" s="142">
        <f t="shared" ref="DB60" si="45">SUM(DB59:DD59,DB46:DD46,DB25:DD25)</f>
        <v>18</v>
      </c>
      <c r="DC60" s="143"/>
      <c r="DD60" s="144"/>
      <c r="DE60" s="142">
        <f t="shared" ref="DE60" si="46">SUM(DE59:DG59,DE46:DG46,DE25:DG25)</f>
        <v>6</v>
      </c>
      <c r="DF60" s="143"/>
      <c r="DG60" s="144"/>
      <c r="DH60" s="65">
        <f>DH59+DH25+DH46</f>
        <v>600</v>
      </c>
    </row>
    <row r="61" spans="2:112" ht="15.75" thickTop="1" x14ac:dyDescent="0.25"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  <c r="AA61" s="145"/>
      <c r="AB61" s="145"/>
      <c r="AC61" s="145"/>
      <c r="AD61" s="145"/>
      <c r="AE61" s="145"/>
      <c r="AF61" s="145"/>
      <c r="AG61" s="145"/>
      <c r="AH61" s="145"/>
      <c r="AI61" s="145"/>
      <c r="AJ61" s="145"/>
      <c r="AK61" s="145"/>
      <c r="AL61" s="145"/>
      <c r="AM61" s="145"/>
    </row>
  </sheetData>
  <mergeCells count="175">
    <mergeCell ref="J7:L7"/>
    <mergeCell ref="M7:O7"/>
    <mergeCell ref="P7:R7"/>
    <mergeCell ref="S7:U7"/>
    <mergeCell ref="V7:X7"/>
    <mergeCell ref="Y7:AA7"/>
    <mergeCell ref="B2:DH2"/>
    <mergeCell ref="B3:DH3"/>
    <mergeCell ref="B5:C7"/>
    <mergeCell ref="D5:F6"/>
    <mergeCell ref="G5:DG5"/>
    <mergeCell ref="DH5:DH7"/>
    <mergeCell ref="G6:CR6"/>
    <mergeCell ref="CS6:DG6"/>
    <mergeCell ref="D7:F7"/>
    <mergeCell ref="G7:I7"/>
    <mergeCell ref="AZ7:BB7"/>
    <mergeCell ref="BC7:BE7"/>
    <mergeCell ref="BF7:BH7"/>
    <mergeCell ref="BI7:BK7"/>
    <mergeCell ref="AB7:AD7"/>
    <mergeCell ref="AE7:AG7"/>
    <mergeCell ref="AH7:AJ7"/>
    <mergeCell ref="AK7:AM7"/>
    <mergeCell ref="CG7:CI7"/>
    <mergeCell ref="CJ7:CL7"/>
    <mergeCell ref="CM7:CO7"/>
    <mergeCell ref="CP7:CR7"/>
    <mergeCell ref="CS7:CU7"/>
    <mergeCell ref="BL7:BN7"/>
    <mergeCell ref="BO7:BQ7"/>
    <mergeCell ref="BR7:BT7"/>
    <mergeCell ref="BU7:BW7"/>
    <mergeCell ref="BX7:BZ7"/>
    <mergeCell ref="CA7:CC7"/>
    <mergeCell ref="AT7:AV7"/>
    <mergeCell ref="AW7:AY7"/>
    <mergeCell ref="DH26:DH28"/>
    <mergeCell ref="G27:CR27"/>
    <mergeCell ref="CS27:DG27"/>
    <mergeCell ref="D28:F28"/>
    <mergeCell ref="G28:I28"/>
    <mergeCell ref="J28:L28"/>
    <mergeCell ref="M28:O28"/>
    <mergeCell ref="P28:R28"/>
    <mergeCell ref="S28:U28"/>
    <mergeCell ref="V28:X28"/>
    <mergeCell ref="AN7:AP7"/>
    <mergeCell ref="AQ7:AS7"/>
    <mergeCell ref="CV7:CX7"/>
    <mergeCell ref="CY7:DA7"/>
    <mergeCell ref="DB7:DD7"/>
    <mergeCell ref="DE7:DG7"/>
    <mergeCell ref="D26:F27"/>
    <mergeCell ref="G26:DG26"/>
    <mergeCell ref="Y28:AA28"/>
    <mergeCell ref="AB28:AD28"/>
    <mergeCell ref="AE28:AG28"/>
    <mergeCell ref="CD7:CF7"/>
    <mergeCell ref="DH47:DH49"/>
    <mergeCell ref="G48:CR48"/>
    <mergeCell ref="CS48:DG48"/>
    <mergeCell ref="D49:F49"/>
    <mergeCell ref="G49:I49"/>
    <mergeCell ref="CJ28:CL28"/>
    <mergeCell ref="CM28:CO28"/>
    <mergeCell ref="CP28:CR28"/>
    <mergeCell ref="CS28:CU28"/>
    <mergeCell ref="CV28:CX28"/>
    <mergeCell ref="CY28:DA28"/>
    <mergeCell ref="BR28:BT28"/>
    <mergeCell ref="BU28:BW28"/>
    <mergeCell ref="BX28:BZ28"/>
    <mergeCell ref="CA28:CC28"/>
    <mergeCell ref="CD28:CF28"/>
    <mergeCell ref="CG28:CI28"/>
    <mergeCell ref="AZ28:BB28"/>
    <mergeCell ref="BC28:BE28"/>
    <mergeCell ref="BF28:BH28"/>
    <mergeCell ref="BI28:BK28"/>
    <mergeCell ref="BL28:BN28"/>
    <mergeCell ref="BO28:BQ28"/>
    <mergeCell ref="AH28:AJ28"/>
    <mergeCell ref="J49:L49"/>
    <mergeCell ref="M49:O49"/>
    <mergeCell ref="P49:R49"/>
    <mergeCell ref="S49:U49"/>
    <mergeCell ref="V49:X49"/>
    <mergeCell ref="Y49:AA49"/>
    <mergeCell ref="DB28:DD28"/>
    <mergeCell ref="DE28:DG28"/>
    <mergeCell ref="B47:C49"/>
    <mergeCell ref="D47:F48"/>
    <mergeCell ref="G47:DG47"/>
    <mergeCell ref="AK28:AM28"/>
    <mergeCell ref="AN28:AP28"/>
    <mergeCell ref="AQ28:AS28"/>
    <mergeCell ref="AT28:AV28"/>
    <mergeCell ref="AW28:AY28"/>
    <mergeCell ref="DE49:DG49"/>
    <mergeCell ref="CM49:CO49"/>
    <mergeCell ref="CP49:CR49"/>
    <mergeCell ref="CS49:CU49"/>
    <mergeCell ref="B26:C28"/>
    <mergeCell ref="B60:F60"/>
    <mergeCell ref="G60:I60"/>
    <mergeCell ref="J60:L60"/>
    <mergeCell ref="M60:O60"/>
    <mergeCell ref="P60:R60"/>
    <mergeCell ref="S60:U60"/>
    <mergeCell ref="CD49:CF49"/>
    <mergeCell ref="CG49:CI49"/>
    <mergeCell ref="CJ49:CL49"/>
    <mergeCell ref="BL49:BN49"/>
    <mergeCell ref="BO49:BQ49"/>
    <mergeCell ref="BR49:BT49"/>
    <mergeCell ref="BU49:BW49"/>
    <mergeCell ref="BX49:BZ49"/>
    <mergeCell ref="CA49:CC49"/>
    <mergeCell ref="AT49:AV49"/>
    <mergeCell ref="AW49:AY49"/>
    <mergeCell ref="AZ49:BB49"/>
    <mergeCell ref="BC49:BE49"/>
    <mergeCell ref="BF49:BH49"/>
    <mergeCell ref="V60:X60"/>
    <mergeCell ref="Y60:AA60"/>
    <mergeCell ref="AB60:AD60"/>
    <mergeCell ref="AE60:AG60"/>
    <mergeCell ref="AH60:AJ60"/>
    <mergeCell ref="AK60:AM60"/>
    <mergeCell ref="CV49:CX49"/>
    <mergeCell ref="CY49:DA49"/>
    <mergeCell ref="DB49:DD49"/>
    <mergeCell ref="BI49:BK49"/>
    <mergeCell ref="AB49:AD49"/>
    <mergeCell ref="AE49:AG49"/>
    <mergeCell ref="AH49:AJ49"/>
    <mergeCell ref="AK49:AM49"/>
    <mergeCell ref="AN49:AP49"/>
    <mergeCell ref="AQ49:AS49"/>
    <mergeCell ref="BF60:BH60"/>
    <mergeCell ref="BI60:BK60"/>
    <mergeCell ref="BL60:BN60"/>
    <mergeCell ref="BO60:BQ60"/>
    <mergeCell ref="BR60:BT60"/>
    <mergeCell ref="BU60:BW60"/>
    <mergeCell ref="AN60:AP60"/>
    <mergeCell ref="AQ60:AS60"/>
    <mergeCell ref="AT60:AV60"/>
    <mergeCell ref="AW60:AY60"/>
    <mergeCell ref="AZ60:BB60"/>
    <mergeCell ref="BC60:BE60"/>
    <mergeCell ref="CP60:CR60"/>
    <mergeCell ref="CS60:CU60"/>
    <mergeCell ref="CV60:CX60"/>
    <mergeCell ref="CY60:DA60"/>
    <mergeCell ref="DB60:DD60"/>
    <mergeCell ref="DE60:DG60"/>
    <mergeCell ref="BX60:BZ60"/>
    <mergeCell ref="CA60:CC60"/>
    <mergeCell ref="CD60:CF60"/>
    <mergeCell ref="CG60:CI60"/>
    <mergeCell ref="CJ60:CL60"/>
    <mergeCell ref="CM60:CO60"/>
    <mergeCell ref="Y61:AA61"/>
    <mergeCell ref="AB61:AD61"/>
    <mergeCell ref="AE61:AG61"/>
    <mergeCell ref="AH61:AJ61"/>
    <mergeCell ref="AK61:AM61"/>
    <mergeCell ref="G61:I61"/>
    <mergeCell ref="J61:L61"/>
    <mergeCell ref="M61:O61"/>
    <mergeCell ref="P61:R61"/>
    <mergeCell ref="S61:U61"/>
    <mergeCell ref="V61:X6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44B14-A4CB-4139-BF15-CA413E3D70BF}">
  <sheetPr filterMode="1"/>
  <dimension ref="A1:G481"/>
  <sheetViews>
    <sheetView zoomScale="70" zoomScaleNormal="70" workbookViewId="0">
      <selection activeCell="F35" sqref="F35"/>
    </sheetView>
  </sheetViews>
  <sheetFormatPr defaultRowHeight="15" x14ac:dyDescent="0.25"/>
  <cols>
    <col min="1" max="1" width="8.7109375" style="84" customWidth="1"/>
    <col min="2" max="2" width="0.7109375" customWidth="1"/>
    <col min="3" max="3" width="11.5703125" customWidth="1"/>
    <col min="4" max="4" width="18.140625" style="86" customWidth="1"/>
    <col min="5" max="6" width="29" style="83" customWidth="1"/>
    <col min="7" max="7" width="30" customWidth="1"/>
  </cols>
  <sheetData>
    <row r="1" spans="1:7" ht="39" customHeight="1" x14ac:dyDescent="0.25">
      <c r="A1" s="87" t="s">
        <v>0</v>
      </c>
      <c r="B1" s="87"/>
      <c r="C1" s="87" t="s">
        <v>88</v>
      </c>
      <c r="D1" s="87" t="s">
        <v>67</v>
      </c>
      <c r="E1" s="87" t="s">
        <v>93</v>
      </c>
      <c r="F1" s="87" t="s">
        <v>94</v>
      </c>
      <c r="G1" s="109" t="s">
        <v>96</v>
      </c>
    </row>
    <row r="2" spans="1:7" hidden="1" x14ac:dyDescent="0.25">
      <c r="A2" s="91" t="s">
        <v>84</v>
      </c>
      <c r="B2" s="161" t="s">
        <v>84</v>
      </c>
      <c r="C2" s="4">
        <v>1</v>
      </c>
      <c r="D2" s="78" t="str">
        <f>IF('1'!E5="","",'1'!E5)</f>
        <v/>
      </c>
      <c r="E2" s="76" t="s">
        <v>95</v>
      </c>
      <c r="F2" s="76"/>
      <c r="G2" s="76" t="str">
        <f>IF(OR(D2="", D2=0, ISBLANK(D2)), "Не залито", "Залито")</f>
        <v>Не залито</v>
      </c>
    </row>
    <row r="3" spans="1:7" hidden="1" x14ac:dyDescent="0.25">
      <c r="A3" s="91" t="s">
        <v>84</v>
      </c>
      <c r="B3" s="162"/>
      <c r="C3" s="4">
        <v>2</v>
      </c>
      <c r="D3" s="78" t="str">
        <f>IF('1'!E6="","",'1'!E6)</f>
        <v/>
      </c>
      <c r="E3" s="76" t="s">
        <v>95</v>
      </c>
      <c r="F3" s="76"/>
      <c r="G3" s="76" t="str">
        <f t="shared" ref="G3:G66" si="0">IF(OR(D3="", D3=0, ISBLANK(D3)), "Не залито", "Залито")</f>
        <v>Не залито</v>
      </c>
    </row>
    <row r="4" spans="1:7" hidden="1" x14ac:dyDescent="0.25">
      <c r="A4" s="91" t="s">
        <v>84</v>
      </c>
      <c r="B4" s="162"/>
      <c r="C4" s="4">
        <v>3</v>
      </c>
      <c r="D4" s="78" t="str">
        <f>IF('1'!E7="","",'1'!E7)</f>
        <v/>
      </c>
      <c r="E4" s="76" t="s">
        <v>95</v>
      </c>
      <c r="F4" s="76"/>
      <c r="G4" s="76" t="str">
        <f t="shared" si="0"/>
        <v>Не залито</v>
      </c>
    </row>
    <row r="5" spans="1:7" hidden="1" x14ac:dyDescent="0.25">
      <c r="A5" s="91" t="s">
        <v>84</v>
      </c>
      <c r="B5" s="162"/>
      <c r="C5" s="4">
        <v>4</v>
      </c>
      <c r="D5" s="78" t="str">
        <f>IF('1'!E8="","",'1'!E8)</f>
        <v/>
      </c>
      <c r="E5" s="76" t="s">
        <v>95</v>
      </c>
      <c r="F5" s="76"/>
      <c r="G5" s="76" t="str">
        <f t="shared" si="0"/>
        <v>Не залито</v>
      </c>
    </row>
    <row r="6" spans="1:7" hidden="1" x14ac:dyDescent="0.25">
      <c r="A6" s="91" t="s">
        <v>84</v>
      </c>
      <c r="B6" s="162"/>
      <c r="C6" s="4">
        <v>5</v>
      </c>
      <c r="D6" s="78" t="str">
        <f>IF('1'!E9="","",'1'!E9)</f>
        <v/>
      </c>
      <c r="E6" s="76" t="s">
        <v>95</v>
      </c>
      <c r="F6" s="76"/>
      <c r="G6" s="76" t="str">
        <f t="shared" si="0"/>
        <v>Не залито</v>
      </c>
    </row>
    <row r="7" spans="1:7" hidden="1" x14ac:dyDescent="0.25">
      <c r="A7" s="91" t="s">
        <v>84</v>
      </c>
      <c r="B7" s="162"/>
      <c r="C7" s="4">
        <v>6</v>
      </c>
      <c r="D7" s="78" t="str">
        <f>IF('1'!E10="","",'1'!E10)</f>
        <v/>
      </c>
      <c r="E7" s="76" t="s">
        <v>95</v>
      </c>
      <c r="F7" s="76"/>
      <c r="G7" s="76" t="str">
        <f t="shared" si="0"/>
        <v>Не залито</v>
      </c>
    </row>
    <row r="8" spans="1:7" hidden="1" x14ac:dyDescent="0.25">
      <c r="A8" s="91" t="s">
        <v>84</v>
      </c>
      <c r="B8" s="162"/>
      <c r="C8" s="4">
        <v>7</v>
      </c>
      <c r="D8" s="78" t="str">
        <f>IF('1'!E11="","",'1'!E11)</f>
        <v/>
      </c>
      <c r="E8" s="76" t="s">
        <v>95</v>
      </c>
      <c r="F8" s="76"/>
      <c r="G8" s="76" t="str">
        <f t="shared" si="0"/>
        <v>Не залито</v>
      </c>
    </row>
    <row r="9" spans="1:7" hidden="1" x14ac:dyDescent="0.25">
      <c r="A9" s="91" t="s">
        <v>84</v>
      </c>
      <c r="B9" s="162"/>
      <c r="C9" s="4">
        <v>8</v>
      </c>
      <c r="D9" s="78" t="str">
        <f>IF('1'!E12="","",'1'!E12)</f>
        <v/>
      </c>
      <c r="E9" s="76" t="s">
        <v>95</v>
      </c>
      <c r="F9" s="76"/>
      <c r="G9" s="76" t="str">
        <f t="shared" si="0"/>
        <v>Не залито</v>
      </c>
    </row>
    <row r="10" spans="1:7" hidden="1" x14ac:dyDescent="0.25">
      <c r="A10" s="91" t="s">
        <v>84</v>
      </c>
      <c r="B10" s="162"/>
      <c r="C10" s="4">
        <v>9</v>
      </c>
      <c r="D10" s="78" t="str">
        <f>IF('1'!E13="","",'1'!E13)</f>
        <v/>
      </c>
      <c r="E10" s="76" t="s">
        <v>95</v>
      </c>
      <c r="F10" s="76"/>
      <c r="G10" s="76" t="str">
        <f t="shared" si="0"/>
        <v>Не залито</v>
      </c>
    </row>
    <row r="11" spans="1:7" hidden="1" x14ac:dyDescent="0.25">
      <c r="A11" s="91" t="s">
        <v>84</v>
      </c>
      <c r="B11" s="162"/>
      <c r="C11" s="4">
        <v>10</v>
      </c>
      <c r="D11" s="78" t="str">
        <f>IF('1'!E14="","",'1'!E14)</f>
        <v/>
      </c>
      <c r="E11" s="76" t="s">
        <v>95</v>
      </c>
      <c r="F11" s="76"/>
      <c r="G11" s="76" t="str">
        <f t="shared" si="0"/>
        <v>Не залито</v>
      </c>
    </row>
    <row r="12" spans="1:7" hidden="1" x14ac:dyDescent="0.25">
      <c r="A12" s="91" t="s">
        <v>84</v>
      </c>
      <c r="B12" s="162"/>
      <c r="C12" s="4">
        <v>11</v>
      </c>
      <c r="D12" s="78" t="str">
        <f>IF('1'!E15="","",'1'!E15)</f>
        <v/>
      </c>
      <c r="E12" s="76" t="s">
        <v>95</v>
      </c>
      <c r="F12" s="76"/>
      <c r="G12" s="76" t="str">
        <f t="shared" si="0"/>
        <v>Не залито</v>
      </c>
    </row>
    <row r="13" spans="1:7" hidden="1" x14ac:dyDescent="0.25">
      <c r="A13" s="91" t="s">
        <v>84</v>
      </c>
      <c r="B13" s="162"/>
      <c r="C13" s="4">
        <v>12</v>
      </c>
      <c r="D13" s="78" t="str">
        <f>IF('1'!E16="","",'1'!E16)</f>
        <v/>
      </c>
      <c r="E13" s="76" t="s">
        <v>95</v>
      </c>
      <c r="F13" s="76"/>
      <c r="G13" s="76" t="str">
        <f t="shared" si="0"/>
        <v>Не залито</v>
      </c>
    </row>
    <row r="14" spans="1:7" hidden="1" x14ac:dyDescent="0.25">
      <c r="A14" s="91" t="s">
        <v>84</v>
      </c>
      <c r="B14" s="162"/>
      <c r="C14" s="4">
        <v>13</v>
      </c>
      <c r="D14" s="78" t="str">
        <f>IF('1'!E17="","",'1'!E17)</f>
        <v/>
      </c>
      <c r="E14" s="76" t="s">
        <v>95</v>
      </c>
      <c r="F14" s="76"/>
      <c r="G14" s="76" t="str">
        <f t="shared" si="0"/>
        <v>Не залито</v>
      </c>
    </row>
    <row r="15" spans="1:7" hidden="1" x14ac:dyDescent="0.25">
      <c r="A15" s="91" t="s">
        <v>84</v>
      </c>
      <c r="B15" s="162"/>
      <c r="C15" s="4">
        <v>14</v>
      </c>
      <c r="D15" s="78" t="str">
        <f>IF('1'!E18="","",'1'!E18)</f>
        <v/>
      </c>
      <c r="E15" s="76" t="s">
        <v>95</v>
      </c>
      <c r="F15" s="76"/>
      <c r="G15" s="76" t="str">
        <f t="shared" si="0"/>
        <v>Не залито</v>
      </c>
    </row>
    <row r="16" spans="1:7" hidden="1" x14ac:dyDescent="0.25">
      <c r="A16" s="91" t="s">
        <v>84</v>
      </c>
      <c r="B16" s="162"/>
      <c r="C16" s="4">
        <v>15</v>
      </c>
      <c r="D16" s="78" t="str">
        <f>IF('1'!E19="","",'1'!E19)</f>
        <v/>
      </c>
      <c r="E16" s="76" t="s">
        <v>95</v>
      </c>
      <c r="F16" s="76"/>
      <c r="G16" s="76" t="str">
        <f t="shared" si="0"/>
        <v>Не залито</v>
      </c>
    </row>
    <row r="17" spans="1:7" hidden="1" x14ac:dyDescent="0.25">
      <c r="A17" s="91" t="s">
        <v>84</v>
      </c>
      <c r="B17" s="162"/>
      <c r="C17" s="4">
        <v>16</v>
      </c>
      <c r="D17" s="78" t="str">
        <f>IF('1'!E20="","",'1'!E20)</f>
        <v/>
      </c>
      <c r="E17" s="76" t="s">
        <v>95</v>
      </c>
      <c r="F17" s="76"/>
      <c r="G17" s="76" t="str">
        <f t="shared" si="0"/>
        <v>Не залито</v>
      </c>
    </row>
    <row r="18" spans="1:7" hidden="1" x14ac:dyDescent="0.25">
      <c r="A18" s="91" t="s">
        <v>84</v>
      </c>
      <c r="B18" s="162"/>
      <c r="C18" s="4">
        <v>17</v>
      </c>
      <c r="D18" s="78" t="str">
        <f>IF('1'!E21="","",'1'!E21)</f>
        <v/>
      </c>
      <c r="E18" s="76" t="s">
        <v>95</v>
      </c>
      <c r="F18" s="76"/>
      <c r="G18" s="76" t="str">
        <f t="shared" si="0"/>
        <v>Не залито</v>
      </c>
    </row>
    <row r="19" spans="1:7" hidden="1" x14ac:dyDescent="0.25">
      <c r="A19" s="91" t="s">
        <v>84</v>
      </c>
      <c r="B19" s="162"/>
      <c r="C19" s="4">
        <v>18</v>
      </c>
      <c r="D19" s="78" t="str">
        <f>IF('1'!E22="","",'1'!E22)</f>
        <v/>
      </c>
      <c r="E19" s="76" t="s">
        <v>95</v>
      </c>
      <c r="F19" s="76"/>
      <c r="G19" s="76" t="str">
        <f t="shared" si="0"/>
        <v>Не залито</v>
      </c>
    </row>
    <row r="20" spans="1:7" hidden="1" x14ac:dyDescent="0.25">
      <c r="A20" s="91" t="s">
        <v>84</v>
      </c>
      <c r="B20" s="162"/>
      <c r="C20" s="4">
        <v>19</v>
      </c>
      <c r="D20" s="78" t="str">
        <f>IF('1'!E23="","",'1'!E23)</f>
        <v/>
      </c>
      <c r="E20" s="76" t="s">
        <v>95</v>
      </c>
      <c r="F20" s="76"/>
      <c r="G20" s="76" t="str">
        <f t="shared" si="0"/>
        <v>Не залито</v>
      </c>
    </row>
    <row r="21" spans="1:7" hidden="1" x14ac:dyDescent="0.25">
      <c r="A21" s="91" t="s">
        <v>84</v>
      </c>
      <c r="B21" s="162"/>
      <c r="C21" s="4">
        <v>20</v>
      </c>
      <c r="D21" s="78" t="str">
        <f>IF('1'!E24="","",'1'!E24)</f>
        <v/>
      </c>
      <c r="E21" s="76" t="s">
        <v>95</v>
      </c>
      <c r="F21" s="76"/>
      <c r="G21" s="76" t="str">
        <f t="shared" si="0"/>
        <v>Не залито</v>
      </c>
    </row>
    <row r="22" spans="1:7" hidden="1" x14ac:dyDescent="0.25">
      <c r="A22" s="91" t="s">
        <v>84</v>
      </c>
      <c r="B22" s="162"/>
      <c r="C22" s="4">
        <v>21</v>
      </c>
      <c r="D22" s="78" t="str">
        <f>IF('1'!E25="","",'1'!E25)</f>
        <v/>
      </c>
      <c r="E22" s="76" t="s">
        <v>95</v>
      </c>
      <c r="F22" s="76"/>
      <c r="G22" s="76" t="str">
        <f t="shared" si="0"/>
        <v>Не залито</v>
      </c>
    </row>
    <row r="23" spans="1:7" hidden="1" x14ac:dyDescent="0.25">
      <c r="A23" s="91" t="s">
        <v>84</v>
      </c>
      <c r="B23" s="162"/>
      <c r="C23" s="4">
        <v>22</v>
      </c>
      <c r="D23" s="78" t="str">
        <f>IF('1'!E26="","",'1'!E26)</f>
        <v/>
      </c>
      <c r="E23" s="76" t="s">
        <v>95</v>
      </c>
      <c r="F23" s="76"/>
      <c r="G23" s="76" t="str">
        <f t="shared" si="0"/>
        <v>Не залито</v>
      </c>
    </row>
    <row r="24" spans="1:7" hidden="1" x14ac:dyDescent="0.25">
      <c r="A24" s="91" t="s">
        <v>84</v>
      </c>
      <c r="B24" s="162"/>
      <c r="C24" s="4">
        <v>23</v>
      </c>
      <c r="D24" s="78" t="str">
        <f>IF('1'!E27="","",'1'!E27)</f>
        <v/>
      </c>
      <c r="E24" s="76" t="s">
        <v>95</v>
      </c>
      <c r="F24" s="76"/>
      <c r="G24" s="76" t="str">
        <f t="shared" si="0"/>
        <v>Не залито</v>
      </c>
    </row>
    <row r="25" spans="1:7" hidden="1" x14ac:dyDescent="0.25">
      <c r="A25" s="91" t="s">
        <v>84</v>
      </c>
      <c r="B25" s="163"/>
      <c r="C25" s="4">
        <v>24</v>
      </c>
      <c r="D25" s="78" t="str">
        <f>IF('1'!E28="","",'1'!E28)</f>
        <v/>
      </c>
      <c r="E25" s="76" t="s">
        <v>95</v>
      </c>
      <c r="F25" s="76"/>
      <c r="G25" s="76" t="str">
        <f t="shared" si="0"/>
        <v>Не залито</v>
      </c>
    </row>
    <row r="26" spans="1:7" hidden="1" x14ac:dyDescent="0.25">
      <c r="A26" s="92" t="s">
        <v>5</v>
      </c>
      <c r="B26" s="161" t="s">
        <v>5</v>
      </c>
      <c r="C26" s="4">
        <v>1</v>
      </c>
      <c r="D26" s="78" t="str">
        <f>IF('2'!E5="","",'2'!E5)</f>
        <v/>
      </c>
      <c r="E26" s="76" t="s">
        <v>95</v>
      </c>
      <c r="F26" s="76"/>
      <c r="G26" s="76" t="str">
        <f t="shared" si="0"/>
        <v>Не залито</v>
      </c>
    </row>
    <row r="27" spans="1:7" hidden="1" x14ac:dyDescent="0.25">
      <c r="A27" s="92" t="s">
        <v>5</v>
      </c>
      <c r="B27" s="162"/>
      <c r="C27" s="4">
        <v>2</v>
      </c>
      <c r="D27" s="78">
        <f>IF('2'!E6="","",'2'!E6)</f>
        <v>46253</v>
      </c>
      <c r="E27" s="76" t="s">
        <v>95</v>
      </c>
      <c r="F27" s="76"/>
      <c r="G27" s="76" t="str">
        <f t="shared" si="0"/>
        <v>Залито</v>
      </c>
    </row>
    <row r="28" spans="1:7" x14ac:dyDescent="0.25">
      <c r="A28" s="92" t="s">
        <v>5</v>
      </c>
      <c r="B28" s="162"/>
      <c r="C28" s="4">
        <v>3</v>
      </c>
      <c r="D28" s="78">
        <f>IF('2'!E7="","",'2'!E7)</f>
        <v>46252</v>
      </c>
      <c r="E28" s="76" t="s">
        <v>95</v>
      </c>
      <c r="F28" s="76"/>
      <c r="G28" s="76" t="str">
        <f t="shared" si="0"/>
        <v>Залито</v>
      </c>
    </row>
    <row r="29" spans="1:7" x14ac:dyDescent="0.25">
      <c r="A29" s="92" t="s">
        <v>5</v>
      </c>
      <c r="B29" s="162"/>
      <c r="C29" s="4">
        <v>4</v>
      </c>
      <c r="D29" s="78">
        <f>IF('2'!E8="","",'2'!E8)</f>
        <v>46248</v>
      </c>
      <c r="E29" s="76" t="s">
        <v>95</v>
      </c>
      <c r="F29" s="76"/>
      <c r="G29" s="76" t="str">
        <f t="shared" si="0"/>
        <v>Залито</v>
      </c>
    </row>
    <row r="30" spans="1:7" x14ac:dyDescent="0.25">
      <c r="A30" s="92" t="s">
        <v>5</v>
      </c>
      <c r="B30" s="162"/>
      <c r="C30" s="4">
        <v>5</v>
      </c>
      <c r="D30" s="78">
        <f>IF('2'!E9="","",'2'!E9)</f>
        <v>46251</v>
      </c>
      <c r="E30" s="76" t="s">
        <v>95</v>
      </c>
      <c r="F30" s="76"/>
      <c r="G30" s="76" t="str">
        <f t="shared" si="0"/>
        <v>Залито</v>
      </c>
    </row>
    <row r="31" spans="1:7" x14ac:dyDescent="0.25">
      <c r="A31" s="92" t="s">
        <v>5</v>
      </c>
      <c r="B31" s="162"/>
      <c r="C31" s="4">
        <v>6</v>
      </c>
      <c r="D31" s="78">
        <f>IF('2'!E10="","",'2'!E10)</f>
        <v>46247</v>
      </c>
      <c r="E31" s="76" t="s">
        <v>95</v>
      </c>
      <c r="F31" s="76"/>
      <c r="G31" s="76" t="str">
        <f t="shared" si="0"/>
        <v>Залито</v>
      </c>
    </row>
    <row r="32" spans="1:7" x14ac:dyDescent="0.25">
      <c r="A32" s="92" t="s">
        <v>5</v>
      </c>
      <c r="B32" s="162"/>
      <c r="C32" s="4">
        <v>7</v>
      </c>
      <c r="D32" s="78">
        <f>IF('2'!E11="","",'2'!E11)</f>
        <v>46250</v>
      </c>
      <c r="E32" s="76" t="s">
        <v>95</v>
      </c>
      <c r="F32" s="76"/>
      <c r="G32" s="76" t="str">
        <f t="shared" si="0"/>
        <v>Залито</v>
      </c>
    </row>
    <row r="33" spans="1:7" x14ac:dyDescent="0.25">
      <c r="A33" s="92" t="s">
        <v>5</v>
      </c>
      <c r="B33" s="162"/>
      <c r="C33" s="4">
        <v>8</v>
      </c>
      <c r="D33" s="78">
        <f>IF('2'!E12="","",'2'!E12)</f>
        <v>46247</v>
      </c>
      <c r="E33" s="76" t="s">
        <v>95</v>
      </c>
      <c r="F33" s="76"/>
      <c r="G33" s="76" t="str">
        <f t="shared" si="0"/>
        <v>Залито</v>
      </c>
    </row>
    <row r="34" spans="1:7" x14ac:dyDescent="0.25">
      <c r="A34" s="92" t="s">
        <v>5</v>
      </c>
      <c r="B34" s="162"/>
      <c r="C34" s="4">
        <v>9</v>
      </c>
      <c r="D34" s="78">
        <f>IF('2'!E13="","",'2'!E13)</f>
        <v>46250</v>
      </c>
      <c r="E34" s="76" t="s">
        <v>95</v>
      </c>
      <c r="F34" s="76"/>
      <c r="G34" s="76" t="str">
        <f t="shared" si="0"/>
        <v>Залито</v>
      </c>
    </row>
    <row r="35" spans="1:7" x14ac:dyDescent="0.25">
      <c r="A35" s="92" t="s">
        <v>5</v>
      </c>
      <c r="B35" s="162"/>
      <c r="C35" s="4">
        <v>10</v>
      </c>
      <c r="D35" s="78">
        <f>IF('2'!E14="","",'2'!E14)</f>
        <v>46246</v>
      </c>
      <c r="E35" s="76" t="s">
        <v>95</v>
      </c>
      <c r="F35" s="76"/>
      <c r="G35" s="76" t="str">
        <f t="shared" si="0"/>
        <v>Залито</v>
      </c>
    </row>
    <row r="36" spans="1:7" x14ac:dyDescent="0.25">
      <c r="A36" s="92" t="s">
        <v>5</v>
      </c>
      <c r="B36" s="162"/>
      <c r="C36" s="4">
        <v>11</v>
      </c>
      <c r="D36" s="78">
        <f>IF('2'!E15="","",'2'!E15)</f>
        <v>46250</v>
      </c>
      <c r="E36" s="76" t="s">
        <v>95</v>
      </c>
      <c r="F36" s="76"/>
      <c r="G36" s="76" t="str">
        <f t="shared" si="0"/>
        <v>Залито</v>
      </c>
    </row>
    <row r="37" spans="1:7" x14ac:dyDescent="0.25">
      <c r="A37" s="92" t="s">
        <v>5</v>
      </c>
      <c r="B37" s="162"/>
      <c r="C37" s="4">
        <v>12</v>
      </c>
      <c r="D37" s="78">
        <f>IF('2'!E16="","",'2'!E16)</f>
        <v>46246</v>
      </c>
      <c r="E37" s="76" t="s">
        <v>95</v>
      </c>
      <c r="F37" s="76"/>
      <c r="G37" s="76" t="str">
        <f t="shared" si="0"/>
        <v>Залито</v>
      </c>
    </row>
    <row r="38" spans="1:7" x14ac:dyDescent="0.25">
      <c r="A38" s="92" t="s">
        <v>5</v>
      </c>
      <c r="B38" s="162"/>
      <c r="C38" s="4">
        <v>13</v>
      </c>
      <c r="D38" s="78">
        <f>IF('2'!E17="","",'2'!E17)</f>
        <v>46250</v>
      </c>
      <c r="E38" s="76" t="s">
        <v>95</v>
      </c>
      <c r="F38" s="76"/>
      <c r="G38" s="76" t="str">
        <f t="shared" si="0"/>
        <v>Залито</v>
      </c>
    </row>
    <row r="39" spans="1:7" x14ac:dyDescent="0.25">
      <c r="A39" s="92" t="s">
        <v>5</v>
      </c>
      <c r="B39" s="162"/>
      <c r="C39" s="4">
        <v>14</v>
      </c>
      <c r="D39" s="78">
        <f>IF('2'!E18="","",'2'!E18)</f>
        <v>46251</v>
      </c>
      <c r="E39" s="76" t="s">
        <v>95</v>
      </c>
      <c r="F39" s="76"/>
      <c r="G39" s="76" t="str">
        <f t="shared" si="0"/>
        <v>Залито</v>
      </c>
    </row>
    <row r="40" spans="1:7" x14ac:dyDescent="0.25">
      <c r="A40" s="92" t="s">
        <v>5</v>
      </c>
      <c r="B40" s="162"/>
      <c r="C40" s="4">
        <v>15</v>
      </c>
      <c r="D40" s="78">
        <f>IF('2'!E19="","",'2'!E19)</f>
        <v>46249</v>
      </c>
      <c r="E40" s="76" t="s">
        <v>95</v>
      </c>
      <c r="F40" s="76"/>
      <c r="G40" s="76" t="str">
        <f t="shared" si="0"/>
        <v>Залито</v>
      </c>
    </row>
    <row r="41" spans="1:7" x14ac:dyDescent="0.25">
      <c r="A41" s="92" t="s">
        <v>5</v>
      </c>
      <c r="B41" s="162"/>
      <c r="C41" s="4">
        <v>16</v>
      </c>
      <c r="D41" s="78">
        <f>IF('2'!E20="","",'2'!E20)</f>
        <v>46251</v>
      </c>
      <c r="E41" s="76" t="s">
        <v>95</v>
      </c>
      <c r="F41" s="76"/>
      <c r="G41" s="76" t="str">
        <f t="shared" si="0"/>
        <v>Залито</v>
      </c>
    </row>
    <row r="42" spans="1:7" x14ac:dyDescent="0.25">
      <c r="A42" s="92" t="s">
        <v>5</v>
      </c>
      <c r="B42" s="162"/>
      <c r="C42" s="4">
        <v>17</v>
      </c>
      <c r="D42" s="78">
        <f>IF('2'!E21="","",'2'!E21)</f>
        <v>46249</v>
      </c>
      <c r="E42" s="76" t="s">
        <v>95</v>
      </c>
      <c r="F42" s="76"/>
      <c r="G42" s="76" t="str">
        <f t="shared" si="0"/>
        <v>Залито</v>
      </c>
    </row>
    <row r="43" spans="1:7" x14ac:dyDescent="0.25">
      <c r="A43" s="92" t="s">
        <v>5</v>
      </c>
      <c r="B43" s="162"/>
      <c r="C43" s="4">
        <v>18</v>
      </c>
      <c r="D43" s="78">
        <f>IF('2'!E22="","",'2'!E22)</f>
        <v>46252</v>
      </c>
      <c r="E43" s="76" t="s">
        <v>95</v>
      </c>
      <c r="F43" s="76"/>
      <c r="G43" s="76" t="str">
        <f t="shared" si="0"/>
        <v>Залито</v>
      </c>
    </row>
    <row r="44" spans="1:7" x14ac:dyDescent="0.25">
      <c r="A44" s="92" t="s">
        <v>5</v>
      </c>
      <c r="B44" s="162"/>
      <c r="C44" s="4">
        <v>19</v>
      </c>
      <c r="D44" s="78">
        <f>IF('2'!E23="","",'2'!E23)</f>
        <v>46248</v>
      </c>
      <c r="E44" s="76" t="s">
        <v>95</v>
      </c>
      <c r="F44" s="76"/>
      <c r="G44" s="76" t="str">
        <f t="shared" si="0"/>
        <v>Залито</v>
      </c>
    </row>
    <row r="45" spans="1:7" x14ac:dyDescent="0.25">
      <c r="A45" s="92" t="s">
        <v>5</v>
      </c>
      <c r="B45" s="162"/>
      <c r="C45" s="4">
        <v>20</v>
      </c>
      <c r="D45" s="78">
        <f>IF('2'!E24="","",'2'!E24)</f>
        <v>46252</v>
      </c>
      <c r="E45" s="76" t="s">
        <v>95</v>
      </c>
      <c r="F45" s="76"/>
      <c r="G45" s="76" t="str">
        <f t="shared" si="0"/>
        <v>Залито</v>
      </c>
    </row>
    <row r="46" spans="1:7" x14ac:dyDescent="0.25">
      <c r="A46" s="92" t="s">
        <v>5</v>
      </c>
      <c r="B46" s="162"/>
      <c r="C46" s="4">
        <v>21</v>
      </c>
      <c r="D46" s="78">
        <f>IF('2'!E25="","",'2'!E25)</f>
        <v>46249</v>
      </c>
      <c r="E46" s="76" t="s">
        <v>95</v>
      </c>
      <c r="F46" s="76"/>
      <c r="G46" s="76" t="str">
        <f t="shared" si="0"/>
        <v>Залито</v>
      </c>
    </row>
    <row r="47" spans="1:7" hidden="1" x14ac:dyDescent="0.25">
      <c r="A47" s="92" t="s">
        <v>5</v>
      </c>
      <c r="B47" s="162"/>
      <c r="C47" s="4">
        <v>22</v>
      </c>
      <c r="D47" s="78">
        <f>IF('2'!E26="","",'2'!E26)</f>
        <v>46252</v>
      </c>
      <c r="E47" s="76" t="s">
        <v>95</v>
      </c>
      <c r="F47" s="76"/>
      <c r="G47" s="76" t="str">
        <f t="shared" si="0"/>
        <v>Залито</v>
      </c>
    </row>
    <row r="48" spans="1:7" hidden="1" x14ac:dyDescent="0.25">
      <c r="A48" s="92" t="s">
        <v>5</v>
      </c>
      <c r="B48" s="162"/>
      <c r="C48" s="4">
        <v>23</v>
      </c>
      <c r="D48" s="78" t="str">
        <f>IF('2'!E27="","",'2'!E27)</f>
        <v/>
      </c>
      <c r="E48" s="76" t="s">
        <v>95</v>
      </c>
      <c r="F48" s="76"/>
      <c r="G48" s="76" t="str">
        <f t="shared" si="0"/>
        <v>Не залито</v>
      </c>
    </row>
    <row r="49" spans="1:7" hidden="1" x14ac:dyDescent="0.25">
      <c r="A49" s="92" t="s">
        <v>5</v>
      </c>
      <c r="B49" s="163"/>
      <c r="C49" s="4">
        <v>24</v>
      </c>
      <c r="D49" s="78">
        <f>IF('2'!E28="","",'2'!E28)</f>
        <v>46253</v>
      </c>
      <c r="E49" s="76" t="s">
        <v>95</v>
      </c>
      <c r="F49" s="76"/>
      <c r="G49" s="76" t="str">
        <f t="shared" si="0"/>
        <v>Залито</v>
      </c>
    </row>
    <row r="50" spans="1:7" x14ac:dyDescent="0.25">
      <c r="A50" s="93" t="s">
        <v>85</v>
      </c>
      <c r="B50" s="161" t="s">
        <v>85</v>
      </c>
      <c r="C50" s="4">
        <v>1</v>
      </c>
      <c r="D50" s="78">
        <f>IF('3'!E5="","",'3'!E5)</f>
        <v>46248</v>
      </c>
      <c r="E50" s="76" t="s">
        <v>95</v>
      </c>
      <c r="F50" s="76"/>
      <c r="G50" s="76" t="str">
        <f t="shared" si="0"/>
        <v>Залито</v>
      </c>
    </row>
    <row r="51" spans="1:7" x14ac:dyDescent="0.25">
      <c r="A51" s="93" t="s">
        <v>85</v>
      </c>
      <c r="B51" s="162"/>
      <c r="C51" s="4">
        <v>2</v>
      </c>
      <c r="D51" s="78">
        <f>IF('3'!E6="","",'3'!E6)</f>
        <v>46250</v>
      </c>
      <c r="E51" s="76" t="s">
        <v>95</v>
      </c>
      <c r="F51" s="76"/>
      <c r="G51" s="76" t="str">
        <f t="shared" si="0"/>
        <v>Залито</v>
      </c>
    </row>
    <row r="52" spans="1:7" x14ac:dyDescent="0.25">
      <c r="A52" s="93" t="s">
        <v>85</v>
      </c>
      <c r="B52" s="162"/>
      <c r="C52" s="4">
        <v>3</v>
      </c>
      <c r="D52" s="78">
        <f>IF('3'!E7="","",'3'!E7)</f>
        <v>46246</v>
      </c>
      <c r="E52" s="76" t="s">
        <v>95</v>
      </c>
      <c r="F52" s="76"/>
      <c r="G52" s="76" t="str">
        <f t="shared" si="0"/>
        <v>Залито</v>
      </c>
    </row>
    <row r="53" spans="1:7" x14ac:dyDescent="0.25">
      <c r="A53" s="93" t="s">
        <v>85</v>
      </c>
      <c r="B53" s="162"/>
      <c r="C53" s="4">
        <v>4</v>
      </c>
      <c r="D53" s="78">
        <f>IF('3'!E8="","",'3'!E8)</f>
        <v>46239</v>
      </c>
      <c r="E53" s="76" t="s">
        <v>95</v>
      </c>
      <c r="F53" s="76"/>
      <c r="G53" s="76" t="str">
        <f t="shared" si="0"/>
        <v>Залито</v>
      </c>
    </row>
    <row r="54" spans="1:7" x14ac:dyDescent="0.25">
      <c r="A54" s="93" t="s">
        <v>85</v>
      </c>
      <c r="B54" s="162"/>
      <c r="C54" s="4">
        <v>5</v>
      </c>
      <c r="D54" s="78">
        <f>IF('3'!E9="","",'3'!E9)</f>
        <v>46247</v>
      </c>
      <c r="E54" s="76" t="s">
        <v>95</v>
      </c>
      <c r="F54" s="76"/>
      <c r="G54" s="76" t="str">
        <f t="shared" si="0"/>
        <v>Залито</v>
      </c>
    </row>
    <row r="55" spans="1:7" x14ac:dyDescent="0.25">
      <c r="A55" s="93" t="s">
        <v>85</v>
      </c>
      <c r="B55" s="162"/>
      <c r="C55" s="4">
        <v>6</v>
      </c>
      <c r="D55" s="78">
        <f>IF('3'!E10="","",'3'!E10)</f>
        <v>46249</v>
      </c>
      <c r="E55" s="76" t="s">
        <v>95</v>
      </c>
      <c r="F55" s="76"/>
      <c r="G55" s="76" t="str">
        <f t="shared" si="0"/>
        <v>Залито</v>
      </c>
    </row>
    <row r="56" spans="1:7" x14ac:dyDescent="0.25">
      <c r="A56" s="93" t="s">
        <v>85</v>
      </c>
      <c r="B56" s="162"/>
      <c r="C56" s="4">
        <v>7</v>
      </c>
      <c r="D56" s="78">
        <f>IF('3'!E11="","",'3'!E11)</f>
        <v>46244</v>
      </c>
      <c r="E56" s="76" t="s">
        <v>95</v>
      </c>
      <c r="F56" s="76"/>
      <c r="G56" s="76" t="str">
        <f t="shared" si="0"/>
        <v>Залито</v>
      </c>
    </row>
    <row r="57" spans="1:7" x14ac:dyDescent="0.25">
      <c r="A57" s="93" t="s">
        <v>85</v>
      </c>
      <c r="B57" s="162"/>
      <c r="C57" s="4">
        <v>8</v>
      </c>
      <c r="D57" s="78">
        <f>IF('3'!E12="","",'3'!E12)</f>
        <v>46248</v>
      </c>
      <c r="E57" s="76" t="s">
        <v>95</v>
      </c>
      <c r="F57" s="76"/>
      <c r="G57" s="76" t="str">
        <f t="shared" si="0"/>
        <v>Залито</v>
      </c>
    </row>
    <row r="58" spans="1:7" x14ac:dyDescent="0.25">
      <c r="A58" s="93" t="s">
        <v>85</v>
      </c>
      <c r="B58" s="162"/>
      <c r="C58" s="4">
        <v>9</v>
      </c>
      <c r="D58" s="78">
        <f>IF('3'!E13="","",'3'!E13)</f>
        <v>46241</v>
      </c>
      <c r="E58" s="76" t="s">
        <v>95</v>
      </c>
      <c r="F58" s="76"/>
      <c r="G58" s="76" t="str">
        <f t="shared" si="0"/>
        <v>Залито</v>
      </c>
    </row>
    <row r="59" spans="1:7" x14ac:dyDescent="0.25">
      <c r="A59" s="93" t="s">
        <v>85</v>
      </c>
      <c r="B59" s="162"/>
      <c r="C59" s="4">
        <v>10</v>
      </c>
      <c r="D59" s="78">
        <f>IF('3'!E14="","",'3'!E14)</f>
        <v>46237</v>
      </c>
      <c r="E59" s="76" t="s">
        <v>95</v>
      </c>
      <c r="F59" s="76"/>
      <c r="G59" s="76" t="str">
        <f t="shared" si="0"/>
        <v>Залито</v>
      </c>
    </row>
    <row r="60" spans="1:7" x14ac:dyDescent="0.25">
      <c r="A60" s="93" t="s">
        <v>85</v>
      </c>
      <c r="B60" s="162"/>
      <c r="C60" s="4">
        <v>11</v>
      </c>
      <c r="D60" s="78">
        <f>IF('3'!E15="","",'3'!E15)</f>
        <v>46240</v>
      </c>
      <c r="E60" s="76" t="s">
        <v>95</v>
      </c>
      <c r="F60" s="76"/>
      <c r="G60" s="76" t="str">
        <f t="shared" si="0"/>
        <v>Залито</v>
      </c>
    </row>
    <row r="61" spans="1:7" x14ac:dyDescent="0.25">
      <c r="A61" s="93" t="s">
        <v>85</v>
      </c>
      <c r="B61" s="162"/>
      <c r="C61" s="4">
        <v>12</v>
      </c>
      <c r="D61" s="78">
        <f>IF('3'!E16="","",'3'!E16)</f>
        <v>46238</v>
      </c>
      <c r="E61" s="76" t="s">
        <v>95</v>
      </c>
      <c r="F61" s="76"/>
      <c r="G61" s="76" t="str">
        <f t="shared" si="0"/>
        <v>Залито</v>
      </c>
    </row>
    <row r="62" spans="1:7" x14ac:dyDescent="0.25">
      <c r="A62" s="93" t="s">
        <v>85</v>
      </c>
      <c r="B62" s="162"/>
      <c r="C62" s="4">
        <v>13</v>
      </c>
      <c r="D62" s="78">
        <f>IF('3'!E17="","",'3'!E17)</f>
        <v>46239</v>
      </c>
      <c r="E62" s="76" t="s">
        <v>95</v>
      </c>
      <c r="F62" s="76"/>
      <c r="G62" s="76" t="str">
        <f t="shared" si="0"/>
        <v>Залито</v>
      </c>
    </row>
    <row r="63" spans="1:7" x14ac:dyDescent="0.25">
      <c r="A63" s="93" t="s">
        <v>85</v>
      </c>
      <c r="B63" s="162"/>
      <c r="C63" s="4">
        <v>14</v>
      </c>
      <c r="D63" s="78">
        <f>IF('3'!E18="","",'3'!E18)</f>
        <v>46241</v>
      </c>
      <c r="E63" s="76" t="s">
        <v>95</v>
      </c>
      <c r="F63" s="76"/>
      <c r="G63" s="76" t="str">
        <f t="shared" si="0"/>
        <v>Залито</v>
      </c>
    </row>
    <row r="64" spans="1:7" x14ac:dyDescent="0.25">
      <c r="A64" s="93" t="s">
        <v>85</v>
      </c>
      <c r="B64" s="162"/>
      <c r="C64" s="4">
        <v>15</v>
      </c>
      <c r="D64" s="78">
        <f>IF('3'!E19="","",'3'!E19)</f>
        <v>46240</v>
      </c>
      <c r="E64" s="76" t="s">
        <v>95</v>
      </c>
      <c r="F64" s="76"/>
      <c r="G64" s="76" t="str">
        <f t="shared" si="0"/>
        <v>Залито</v>
      </c>
    </row>
    <row r="65" spans="1:7" x14ac:dyDescent="0.25">
      <c r="A65" s="93" t="s">
        <v>85</v>
      </c>
      <c r="B65" s="162"/>
      <c r="C65" s="4">
        <v>16</v>
      </c>
      <c r="D65" s="78">
        <f>IF('3'!E20="","",'3'!E20)</f>
        <v>46238</v>
      </c>
      <c r="E65" s="76" t="s">
        <v>95</v>
      </c>
      <c r="F65" s="76"/>
      <c r="G65" s="76" t="str">
        <f t="shared" si="0"/>
        <v>Залито</v>
      </c>
    </row>
    <row r="66" spans="1:7" x14ac:dyDescent="0.25">
      <c r="A66" s="93" t="s">
        <v>85</v>
      </c>
      <c r="B66" s="162"/>
      <c r="C66" s="4">
        <v>17</v>
      </c>
      <c r="D66" s="78">
        <f>IF('3'!E21="","",'3'!E21)</f>
        <v>46244</v>
      </c>
      <c r="E66" s="76" t="s">
        <v>95</v>
      </c>
      <c r="F66" s="76"/>
      <c r="G66" s="76" t="str">
        <f t="shared" si="0"/>
        <v>Залито</v>
      </c>
    </row>
    <row r="67" spans="1:7" x14ac:dyDescent="0.25">
      <c r="A67" s="93" t="s">
        <v>85</v>
      </c>
      <c r="B67" s="162"/>
      <c r="C67" s="4">
        <v>18</v>
      </c>
      <c r="D67" s="78">
        <f>IF('3'!E22="","",'3'!E22)</f>
        <v>46246</v>
      </c>
      <c r="E67" s="76" t="s">
        <v>95</v>
      </c>
      <c r="F67" s="76"/>
      <c r="G67" s="76" t="str">
        <f t="shared" ref="G67:G130" si="1">IF(OR(D67="", D67=0, ISBLANK(D67)), "Не залито", "Залито")</f>
        <v>Залито</v>
      </c>
    </row>
    <row r="68" spans="1:7" x14ac:dyDescent="0.25">
      <c r="A68" s="93" t="s">
        <v>85</v>
      </c>
      <c r="B68" s="162"/>
      <c r="C68" s="4">
        <v>19</v>
      </c>
      <c r="D68" s="78">
        <f>IF('3'!E23="","",'3'!E23)</f>
        <v>46243</v>
      </c>
      <c r="E68" s="76" t="s">
        <v>95</v>
      </c>
      <c r="F68" s="76"/>
      <c r="G68" s="76" t="str">
        <f t="shared" si="1"/>
        <v>Залито</v>
      </c>
    </row>
    <row r="69" spans="1:7" x14ac:dyDescent="0.25">
      <c r="A69" s="93" t="s">
        <v>85</v>
      </c>
      <c r="B69" s="162"/>
      <c r="C69" s="4">
        <v>20</v>
      </c>
      <c r="D69" s="78">
        <f>IF('3'!E24="","",'3'!E24)</f>
        <v>46247</v>
      </c>
      <c r="E69" s="76" t="s">
        <v>95</v>
      </c>
      <c r="F69" s="76"/>
      <c r="G69" s="76" t="str">
        <f t="shared" si="1"/>
        <v>Залито</v>
      </c>
    </row>
    <row r="70" spans="1:7" x14ac:dyDescent="0.25">
      <c r="A70" s="93" t="s">
        <v>85</v>
      </c>
      <c r="B70" s="162"/>
      <c r="C70" s="4">
        <v>21</v>
      </c>
      <c r="D70" s="78">
        <f>IF('3'!E25="","",'3'!E25)</f>
        <v>46242</v>
      </c>
      <c r="E70" s="76" t="s">
        <v>95</v>
      </c>
      <c r="F70" s="76"/>
      <c r="G70" s="76" t="str">
        <f t="shared" si="1"/>
        <v>Залито</v>
      </c>
    </row>
    <row r="71" spans="1:7" x14ac:dyDescent="0.25">
      <c r="A71" s="93" t="s">
        <v>85</v>
      </c>
      <c r="B71" s="162"/>
      <c r="C71" s="4">
        <v>22</v>
      </c>
      <c r="D71" s="78">
        <f>IF('3'!E26="","",'3'!E26)</f>
        <v>46241</v>
      </c>
      <c r="E71" s="76" t="s">
        <v>95</v>
      </c>
      <c r="F71" s="76"/>
      <c r="G71" s="76" t="str">
        <f t="shared" si="1"/>
        <v>Залито</v>
      </c>
    </row>
    <row r="72" spans="1:7" x14ac:dyDescent="0.25">
      <c r="A72" s="93" t="s">
        <v>85</v>
      </c>
      <c r="B72" s="162"/>
      <c r="C72" s="4">
        <v>23</v>
      </c>
      <c r="D72" s="78">
        <f>IF('3'!E27="","",'3'!E27)</f>
        <v>46245</v>
      </c>
      <c r="E72" s="76" t="s">
        <v>95</v>
      </c>
      <c r="F72" s="76"/>
      <c r="G72" s="76" t="str">
        <f t="shared" si="1"/>
        <v>Залито</v>
      </c>
    </row>
    <row r="73" spans="1:7" x14ac:dyDescent="0.25">
      <c r="A73" s="93" t="s">
        <v>85</v>
      </c>
      <c r="B73" s="163"/>
      <c r="C73" s="4">
        <v>24</v>
      </c>
      <c r="D73" s="78">
        <f>IF('3'!E28="","",'3'!E28)</f>
        <v>46250</v>
      </c>
      <c r="E73" s="76" t="s">
        <v>95</v>
      </c>
      <c r="F73" s="76"/>
      <c r="G73" s="76" t="str">
        <f t="shared" si="1"/>
        <v>Залито</v>
      </c>
    </row>
    <row r="74" spans="1:7" hidden="1" x14ac:dyDescent="0.25">
      <c r="A74" s="94" t="s">
        <v>22</v>
      </c>
      <c r="B74" s="161" t="s">
        <v>22</v>
      </c>
      <c r="C74" s="4">
        <v>1</v>
      </c>
      <c r="D74" s="78" t="str">
        <f>IF('4'!E5="","",'4'!E5)</f>
        <v/>
      </c>
      <c r="E74" s="76" t="s">
        <v>95</v>
      </c>
      <c r="F74" s="76"/>
      <c r="G74" s="76" t="str">
        <f t="shared" si="1"/>
        <v>Не залито</v>
      </c>
    </row>
    <row r="75" spans="1:7" hidden="1" x14ac:dyDescent="0.25">
      <c r="A75" s="94" t="s">
        <v>22</v>
      </c>
      <c r="B75" s="162"/>
      <c r="C75" s="4">
        <v>2</v>
      </c>
      <c r="D75" s="78" t="str">
        <f>IF('4'!E6="","",'4'!E6)</f>
        <v/>
      </c>
      <c r="E75" s="76" t="s">
        <v>95</v>
      </c>
      <c r="F75" s="76"/>
      <c r="G75" s="76" t="str">
        <f t="shared" si="1"/>
        <v>Не залито</v>
      </c>
    </row>
    <row r="76" spans="1:7" hidden="1" x14ac:dyDescent="0.25">
      <c r="A76" s="94" t="s">
        <v>22</v>
      </c>
      <c r="B76" s="162"/>
      <c r="C76" s="4">
        <v>3</v>
      </c>
      <c r="D76" s="78" t="str">
        <f>IF('4'!E7="","",'4'!E7)</f>
        <v/>
      </c>
      <c r="E76" s="76" t="s">
        <v>95</v>
      </c>
      <c r="F76" s="76"/>
      <c r="G76" s="76" t="str">
        <f t="shared" si="1"/>
        <v>Не залито</v>
      </c>
    </row>
    <row r="77" spans="1:7" hidden="1" x14ac:dyDescent="0.25">
      <c r="A77" s="94" t="s">
        <v>22</v>
      </c>
      <c r="B77" s="162"/>
      <c r="C77" s="4">
        <v>4</v>
      </c>
      <c r="D77" s="78" t="str">
        <f>IF('4'!E8="","",'4'!E8)</f>
        <v/>
      </c>
      <c r="E77" s="76" t="s">
        <v>95</v>
      </c>
      <c r="F77" s="76"/>
      <c r="G77" s="76" t="str">
        <f t="shared" si="1"/>
        <v>Не залито</v>
      </c>
    </row>
    <row r="78" spans="1:7" hidden="1" x14ac:dyDescent="0.25">
      <c r="A78" s="94" t="s">
        <v>22</v>
      </c>
      <c r="B78" s="162"/>
      <c r="C78" s="4">
        <v>5</v>
      </c>
      <c r="D78" s="78" t="str">
        <f>IF('4'!E9="","",'4'!E9)</f>
        <v/>
      </c>
      <c r="E78" s="76" t="s">
        <v>95</v>
      </c>
      <c r="F78" s="76"/>
      <c r="G78" s="76" t="str">
        <f t="shared" si="1"/>
        <v>Не залито</v>
      </c>
    </row>
    <row r="79" spans="1:7" hidden="1" x14ac:dyDescent="0.25">
      <c r="A79" s="94" t="s">
        <v>22</v>
      </c>
      <c r="B79" s="162"/>
      <c r="C79" s="4">
        <v>6</v>
      </c>
      <c r="D79" s="78" t="str">
        <f>IF('4'!E10="","",'4'!E10)</f>
        <v/>
      </c>
      <c r="E79" s="76" t="s">
        <v>95</v>
      </c>
      <c r="F79" s="76"/>
      <c r="G79" s="76" t="str">
        <f t="shared" si="1"/>
        <v>Не залито</v>
      </c>
    </row>
    <row r="80" spans="1:7" hidden="1" x14ac:dyDescent="0.25">
      <c r="A80" s="94" t="s">
        <v>22</v>
      </c>
      <c r="B80" s="162"/>
      <c r="C80" s="4">
        <v>7</v>
      </c>
      <c r="D80" s="78" t="str">
        <f>IF('4'!E11="","",'4'!E11)</f>
        <v/>
      </c>
      <c r="E80" s="76" t="s">
        <v>95</v>
      </c>
      <c r="F80" s="76"/>
      <c r="G80" s="76" t="str">
        <f t="shared" si="1"/>
        <v>Не залито</v>
      </c>
    </row>
    <row r="81" spans="1:7" hidden="1" x14ac:dyDescent="0.25">
      <c r="A81" s="94" t="s">
        <v>22</v>
      </c>
      <c r="B81" s="162"/>
      <c r="C81" s="4">
        <v>8</v>
      </c>
      <c r="D81" s="78" t="str">
        <f>IF('4'!E12="","",'4'!E12)</f>
        <v/>
      </c>
      <c r="E81" s="76" t="s">
        <v>95</v>
      </c>
      <c r="F81" s="76"/>
      <c r="G81" s="76" t="str">
        <f t="shared" si="1"/>
        <v>Не залито</v>
      </c>
    </row>
    <row r="82" spans="1:7" hidden="1" x14ac:dyDescent="0.25">
      <c r="A82" s="94" t="s">
        <v>22</v>
      </c>
      <c r="B82" s="162"/>
      <c r="C82" s="4">
        <v>9</v>
      </c>
      <c r="D82" s="78" t="str">
        <f>IF('4'!E13="","",'4'!E13)</f>
        <v/>
      </c>
      <c r="E82" s="76" t="s">
        <v>95</v>
      </c>
      <c r="F82" s="76"/>
      <c r="G82" s="76" t="str">
        <f t="shared" si="1"/>
        <v>Не залито</v>
      </c>
    </row>
    <row r="83" spans="1:7" hidden="1" x14ac:dyDescent="0.25">
      <c r="A83" s="94" t="s">
        <v>22</v>
      </c>
      <c r="B83" s="162"/>
      <c r="C83" s="4">
        <v>10</v>
      </c>
      <c r="D83" s="78" t="str">
        <f>IF('4'!E14="","",'4'!E14)</f>
        <v/>
      </c>
      <c r="E83" s="76" t="s">
        <v>95</v>
      </c>
      <c r="F83" s="76"/>
      <c r="G83" s="76" t="str">
        <f t="shared" si="1"/>
        <v>Не залито</v>
      </c>
    </row>
    <row r="84" spans="1:7" hidden="1" x14ac:dyDescent="0.25">
      <c r="A84" s="94" t="s">
        <v>22</v>
      </c>
      <c r="B84" s="162"/>
      <c r="C84" s="4">
        <v>11</v>
      </c>
      <c r="D84" s="78" t="str">
        <f>IF('4'!E15="","",'4'!E15)</f>
        <v/>
      </c>
      <c r="E84" s="76" t="s">
        <v>95</v>
      </c>
      <c r="F84" s="76"/>
      <c r="G84" s="76" t="str">
        <f t="shared" si="1"/>
        <v>Не залито</v>
      </c>
    </row>
    <row r="85" spans="1:7" hidden="1" x14ac:dyDescent="0.25">
      <c r="A85" s="94" t="s">
        <v>22</v>
      </c>
      <c r="B85" s="162"/>
      <c r="C85" s="4">
        <v>12</v>
      </c>
      <c r="D85" s="78" t="str">
        <f>IF('4'!E16="","",'4'!E16)</f>
        <v/>
      </c>
      <c r="E85" s="76" t="s">
        <v>95</v>
      </c>
      <c r="F85" s="76"/>
      <c r="G85" s="76" t="str">
        <f t="shared" si="1"/>
        <v>Не залито</v>
      </c>
    </row>
    <row r="86" spans="1:7" hidden="1" x14ac:dyDescent="0.25">
      <c r="A86" s="94" t="s">
        <v>22</v>
      </c>
      <c r="B86" s="162"/>
      <c r="C86" s="4">
        <v>13</v>
      </c>
      <c r="D86" s="78" t="str">
        <f>IF('4'!E17="","",'4'!E17)</f>
        <v/>
      </c>
      <c r="E86" s="76" t="s">
        <v>95</v>
      </c>
      <c r="F86" s="76"/>
      <c r="G86" s="76" t="str">
        <f t="shared" si="1"/>
        <v>Не залито</v>
      </c>
    </row>
    <row r="87" spans="1:7" hidden="1" x14ac:dyDescent="0.25">
      <c r="A87" s="94" t="s">
        <v>22</v>
      </c>
      <c r="B87" s="162"/>
      <c r="C87" s="4">
        <v>14</v>
      </c>
      <c r="D87" s="78" t="str">
        <f>IF('4'!E18="","",'4'!E18)</f>
        <v/>
      </c>
      <c r="E87" s="76" t="s">
        <v>95</v>
      </c>
      <c r="F87" s="76"/>
      <c r="G87" s="76" t="str">
        <f t="shared" si="1"/>
        <v>Не залито</v>
      </c>
    </row>
    <row r="88" spans="1:7" hidden="1" x14ac:dyDescent="0.25">
      <c r="A88" s="94" t="s">
        <v>22</v>
      </c>
      <c r="B88" s="162"/>
      <c r="C88" s="4">
        <v>15</v>
      </c>
      <c r="D88" s="78" t="str">
        <f>IF('4'!E19="","",'4'!E19)</f>
        <v/>
      </c>
      <c r="E88" s="76" t="s">
        <v>95</v>
      </c>
      <c r="F88" s="76"/>
      <c r="G88" s="76" t="str">
        <f t="shared" si="1"/>
        <v>Не залито</v>
      </c>
    </row>
    <row r="89" spans="1:7" hidden="1" x14ac:dyDescent="0.25">
      <c r="A89" s="94" t="s">
        <v>22</v>
      </c>
      <c r="B89" s="162"/>
      <c r="C89" s="4">
        <v>16</v>
      </c>
      <c r="D89" s="78" t="str">
        <f>IF('4'!E20="","",'4'!E20)</f>
        <v/>
      </c>
      <c r="E89" s="76" t="s">
        <v>95</v>
      </c>
      <c r="F89" s="76"/>
      <c r="G89" s="76" t="str">
        <f t="shared" si="1"/>
        <v>Не залито</v>
      </c>
    </row>
    <row r="90" spans="1:7" hidden="1" x14ac:dyDescent="0.25">
      <c r="A90" s="94" t="s">
        <v>22</v>
      </c>
      <c r="B90" s="162"/>
      <c r="C90" s="4">
        <v>17</v>
      </c>
      <c r="D90" s="78" t="str">
        <f>IF('4'!E21="","",'4'!E21)</f>
        <v/>
      </c>
      <c r="E90" s="76" t="s">
        <v>95</v>
      </c>
      <c r="F90" s="76"/>
      <c r="G90" s="76" t="str">
        <f t="shared" si="1"/>
        <v>Не залито</v>
      </c>
    </row>
    <row r="91" spans="1:7" hidden="1" x14ac:dyDescent="0.25">
      <c r="A91" s="94" t="s">
        <v>22</v>
      </c>
      <c r="B91" s="162"/>
      <c r="C91" s="4">
        <v>18</v>
      </c>
      <c r="D91" s="78" t="str">
        <f>IF('4'!E22="","",'4'!E22)</f>
        <v/>
      </c>
      <c r="E91" s="76" t="s">
        <v>95</v>
      </c>
      <c r="F91" s="76"/>
      <c r="G91" s="76" t="str">
        <f t="shared" si="1"/>
        <v>Не залито</v>
      </c>
    </row>
    <row r="92" spans="1:7" hidden="1" x14ac:dyDescent="0.25">
      <c r="A92" s="94" t="s">
        <v>22</v>
      </c>
      <c r="B92" s="162"/>
      <c r="C92" s="4">
        <v>19</v>
      </c>
      <c r="D92" s="78" t="str">
        <f>IF('4'!E23="","",'4'!E23)</f>
        <v/>
      </c>
      <c r="E92" s="76" t="s">
        <v>95</v>
      </c>
      <c r="F92" s="76"/>
      <c r="G92" s="76" t="str">
        <f t="shared" si="1"/>
        <v>Не залито</v>
      </c>
    </row>
    <row r="93" spans="1:7" hidden="1" x14ac:dyDescent="0.25">
      <c r="A93" s="94" t="s">
        <v>22</v>
      </c>
      <c r="B93" s="162"/>
      <c r="C93" s="4">
        <v>20</v>
      </c>
      <c r="D93" s="78" t="str">
        <f>IF('4'!E24="","",'4'!E24)</f>
        <v/>
      </c>
      <c r="E93" s="76" t="s">
        <v>95</v>
      </c>
      <c r="F93" s="76"/>
      <c r="G93" s="76" t="str">
        <f t="shared" si="1"/>
        <v>Не залито</v>
      </c>
    </row>
    <row r="94" spans="1:7" hidden="1" x14ac:dyDescent="0.25">
      <c r="A94" s="94" t="s">
        <v>22</v>
      </c>
      <c r="B94" s="162"/>
      <c r="C94" s="4">
        <v>21</v>
      </c>
      <c r="D94" s="78" t="str">
        <f>IF('4'!E25="","",'4'!E25)</f>
        <v/>
      </c>
      <c r="E94" s="76" t="s">
        <v>95</v>
      </c>
      <c r="F94" s="76"/>
      <c r="G94" s="76" t="str">
        <f t="shared" si="1"/>
        <v>Не залито</v>
      </c>
    </row>
    <row r="95" spans="1:7" hidden="1" x14ac:dyDescent="0.25">
      <c r="A95" s="94" t="s">
        <v>22</v>
      </c>
      <c r="B95" s="162"/>
      <c r="C95" s="4">
        <v>22</v>
      </c>
      <c r="D95" s="78" t="str">
        <f>IF('4'!E26="","",'4'!E26)</f>
        <v/>
      </c>
      <c r="E95" s="76" t="s">
        <v>95</v>
      </c>
      <c r="F95" s="76"/>
      <c r="G95" s="76" t="str">
        <f t="shared" si="1"/>
        <v>Не залито</v>
      </c>
    </row>
    <row r="96" spans="1:7" hidden="1" x14ac:dyDescent="0.25">
      <c r="A96" s="94" t="s">
        <v>22</v>
      </c>
      <c r="B96" s="162"/>
      <c r="C96" s="4">
        <v>23</v>
      </c>
      <c r="D96" s="78" t="str">
        <f>IF('4'!E27="","",'4'!E27)</f>
        <v/>
      </c>
      <c r="E96" s="76" t="s">
        <v>95</v>
      </c>
      <c r="F96" s="76"/>
      <c r="G96" s="76" t="str">
        <f t="shared" si="1"/>
        <v>Не залито</v>
      </c>
    </row>
    <row r="97" spans="1:7" hidden="1" x14ac:dyDescent="0.25">
      <c r="A97" s="94" t="s">
        <v>22</v>
      </c>
      <c r="B97" s="163"/>
      <c r="C97" s="4">
        <v>24</v>
      </c>
      <c r="D97" s="78" t="str">
        <f>IF('4'!E28="","",'4'!E28)</f>
        <v/>
      </c>
      <c r="E97" s="76" t="s">
        <v>95</v>
      </c>
      <c r="F97" s="76"/>
      <c r="G97" s="76" t="str">
        <f t="shared" si="1"/>
        <v>Не залито</v>
      </c>
    </row>
    <row r="98" spans="1:7" hidden="1" x14ac:dyDescent="0.25">
      <c r="A98" s="3" t="s">
        <v>86</v>
      </c>
      <c r="B98" s="161" t="s">
        <v>86</v>
      </c>
      <c r="C98" s="4">
        <v>1</v>
      </c>
      <c r="D98" s="78">
        <f>IF('5'!E5="","",'5'!E5)</f>
        <v>46253</v>
      </c>
      <c r="E98" s="76" t="s">
        <v>95</v>
      </c>
      <c r="F98" s="76"/>
      <c r="G98" s="76" t="str">
        <f t="shared" si="1"/>
        <v>Залито</v>
      </c>
    </row>
    <row r="99" spans="1:7" hidden="1" x14ac:dyDescent="0.25">
      <c r="A99" s="3" t="s">
        <v>86</v>
      </c>
      <c r="B99" s="162"/>
      <c r="C99" s="4">
        <v>2</v>
      </c>
      <c r="D99" s="78" t="str">
        <f>IF('5'!E6="","",'5'!E6)</f>
        <v/>
      </c>
      <c r="E99" s="76" t="s">
        <v>95</v>
      </c>
      <c r="F99" s="76"/>
      <c r="G99" s="76" t="str">
        <f t="shared" si="1"/>
        <v>Не залито</v>
      </c>
    </row>
    <row r="100" spans="1:7" hidden="1" x14ac:dyDescent="0.25">
      <c r="A100" s="3" t="s">
        <v>86</v>
      </c>
      <c r="B100" s="162"/>
      <c r="C100" s="4">
        <v>3</v>
      </c>
      <c r="D100" s="78" t="str">
        <f>IF('5'!E7="","",'5'!E7)</f>
        <v/>
      </c>
      <c r="E100" s="76" t="s">
        <v>95</v>
      </c>
      <c r="F100" s="76"/>
      <c r="G100" s="76" t="str">
        <f t="shared" si="1"/>
        <v>Не залито</v>
      </c>
    </row>
    <row r="101" spans="1:7" hidden="1" x14ac:dyDescent="0.25">
      <c r="A101" s="3" t="s">
        <v>86</v>
      </c>
      <c r="B101" s="162"/>
      <c r="C101" s="4">
        <v>4</v>
      </c>
      <c r="D101" s="78" t="str">
        <f>IF('5'!E8="","",'5'!E8)</f>
        <v/>
      </c>
      <c r="E101" s="76" t="s">
        <v>95</v>
      </c>
      <c r="F101" s="76"/>
      <c r="G101" s="76" t="str">
        <f t="shared" si="1"/>
        <v>Не залито</v>
      </c>
    </row>
    <row r="102" spans="1:7" x14ac:dyDescent="0.25">
      <c r="A102" s="3" t="s">
        <v>86</v>
      </c>
      <c r="B102" s="162"/>
      <c r="C102" s="4">
        <v>5</v>
      </c>
      <c r="D102" s="78">
        <f>IF('5'!E9="","",'5'!E9)</f>
        <v>46252</v>
      </c>
      <c r="E102" s="76" t="s">
        <v>95</v>
      </c>
      <c r="F102" s="76"/>
      <c r="G102" s="76" t="str">
        <f t="shared" si="1"/>
        <v>Залито</v>
      </c>
    </row>
    <row r="103" spans="1:7" hidden="1" x14ac:dyDescent="0.25">
      <c r="A103" s="3" t="s">
        <v>86</v>
      </c>
      <c r="B103" s="162"/>
      <c r="C103" s="4">
        <v>6</v>
      </c>
      <c r="D103" s="78" t="str">
        <f>IF('5'!E10="","",'5'!E10)</f>
        <v/>
      </c>
      <c r="E103" s="76" t="s">
        <v>95</v>
      </c>
      <c r="F103" s="76"/>
      <c r="G103" s="76" t="str">
        <f t="shared" si="1"/>
        <v>Не залито</v>
      </c>
    </row>
    <row r="104" spans="1:7" hidden="1" x14ac:dyDescent="0.25">
      <c r="A104" s="3" t="s">
        <v>86</v>
      </c>
      <c r="B104" s="162"/>
      <c r="C104" s="4">
        <v>7</v>
      </c>
      <c r="D104" s="78" t="str">
        <f>IF('5'!E11="","",'5'!E11)</f>
        <v/>
      </c>
      <c r="E104" s="76" t="s">
        <v>95</v>
      </c>
      <c r="F104" s="76"/>
      <c r="G104" s="76" t="str">
        <f t="shared" si="1"/>
        <v>Не залито</v>
      </c>
    </row>
    <row r="105" spans="1:7" hidden="1" x14ac:dyDescent="0.25">
      <c r="A105" s="3" t="s">
        <v>86</v>
      </c>
      <c r="B105" s="162"/>
      <c r="C105" s="4">
        <v>8</v>
      </c>
      <c r="D105" s="78" t="str">
        <f>IF('5'!E12="","",'5'!E12)</f>
        <v/>
      </c>
      <c r="E105" s="76" t="s">
        <v>95</v>
      </c>
      <c r="F105" s="76"/>
      <c r="G105" s="76" t="str">
        <f t="shared" si="1"/>
        <v>Не залито</v>
      </c>
    </row>
    <row r="106" spans="1:7" hidden="1" x14ac:dyDescent="0.25">
      <c r="A106" s="3" t="s">
        <v>86</v>
      </c>
      <c r="B106" s="162"/>
      <c r="C106" s="4">
        <v>9</v>
      </c>
      <c r="D106" s="78" t="str">
        <f>IF('5'!E13="","",'5'!E13)</f>
        <v/>
      </c>
      <c r="E106" s="76" t="s">
        <v>95</v>
      </c>
      <c r="F106" s="76"/>
      <c r="G106" s="76" t="str">
        <f t="shared" si="1"/>
        <v>Не залито</v>
      </c>
    </row>
    <row r="107" spans="1:7" hidden="1" x14ac:dyDescent="0.25">
      <c r="A107" s="3" t="s">
        <v>86</v>
      </c>
      <c r="B107" s="162"/>
      <c r="C107" s="4">
        <v>10</v>
      </c>
      <c r="D107" s="78" t="str">
        <f>IF('5'!E14="","",'5'!E14)</f>
        <v/>
      </c>
      <c r="E107" s="76" t="s">
        <v>95</v>
      </c>
      <c r="F107" s="76"/>
      <c r="G107" s="76" t="str">
        <f t="shared" si="1"/>
        <v>Не залито</v>
      </c>
    </row>
    <row r="108" spans="1:7" hidden="1" x14ac:dyDescent="0.25">
      <c r="A108" s="3" t="s">
        <v>86</v>
      </c>
      <c r="B108" s="162"/>
      <c r="C108" s="4">
        <v>11</v>
      </c>
      <c r="D108" s="78" t="str">
        <f>IF('5'!E15="","",'5'!E15)</f>
        <v/>
      </c>
      <c r="E108" s="76" t="s">
        <v>95</v>
      </c>
      <c r="F108" s="76"/>
      <c r="G108" s="76" t="str">
        <f t="shared" si="1"/>
        <v>Не залито</v>
      </c>
    </row>
    <row r="109" spans="1:7" hidden="1" x14ac:dyDescent="0.25">
      <c r="A109" s="3" t="s">
        <v>86</v>
      </c>
      <c r="B109" s="162"/>
      <c r="C109" s="4">
        <v>12</v>
      </c>
      <c r="D109" s="78" t="str">
        <f>IF('5'!E16="","",'5'!E16)</f>
        <v/>
      </c>
      <c r="E109" s="76" t="s">
        <v>95</v>
      </c>
      <c r="F109" s="76"/>
      <c r="G109" s="76" t="str">
        <f t="shared" si="1"/>
        <v>Не залито</v>
      </c>
    </row>
    <row r="110" spans="1:7" hidden="1" x14ac:dyDescent="0.25">
      <c r="A110" s="3" t="s">
        <v>86</v>
      </c>
      <c r="B110" s="162"/>
      <c r="C110" s="4">
        <v>13</v>
      </c>
      <c r="D110" s="78" t="str">
        <f>IF('5'!E17="","",'5'!E17)</f>
        <v/>
      </c>
      <c r="E110" s="76" t="s">
        <v>95</v>
      </c>
      <c r="F110" s="76"/>
      <c r="G110" s="76" t="str">
        <f t="shared" si="1"/>
        <v>Не залито</v>
      </c>
    </row>
    <row r="111" spans="1:7" hidden="1" x14ac:dyDescent="0.25">
      <c r="A111" s="3" t="s">
        <v>86</v>
      </c>
      <c r="B111" s="162"/>
      <c r="C111" s="4">
        <v>14</v>
      </c>
      <c r="D111" s="78" t="str">
        <f>IF('5'!E18="","",'5'!E18)</f>
        <v/>
      </c>
      <c r="E111" s="76" t="s">
        <v>95</v>
      </c>
      <c r="F111" s="76"/>
      <c r="G111" s="76" t="str">
        <f t="shared" si="1"/>
        <v>Не залито</v>
      </c>
    </row>
    <row r="112" spans="1:7" hidden="1" x14ac:dyDescent="0.25">
      <c r="A112" s="3" t="s">
        <v>86</v>
      </c>
      <c r="B112" s="162"/>
      <c r="C112" s="4">
        <v>15</v>
      </c>
      <c r="D112" s="78" t="str">
        <f>IF('5'!E19="","",'5'!E19)</f>
        <v/>
      </c>
      <c r="E112" s="76" t="s">
        <v>95</v>
      </c>
      <c r="F112" s="76"/>
      <c r="G112" s="76" t="str">
        <f t="shared" si="1"/>
        <v>Не залито</v>
      </c>
    </row>
    <row r="113" spans="1:7" hidden="1" x14ac:dyDescent="0.25">
      <c r="A113" s="3" t="s">
        <v>86</v>
      </c>
      <c r="B113" s="162"/>
      <c r="C113" s="4">
        <v>16</v>
      </c>
      <c r="D113" s="78" t="str">
        <f>IF('5'!E20="","",'5'!E20)</f>
        <v/>
      </c>
      <c r="E113" s="76" t="s">
        <v>95</v>
      </c>
      <c r="F113" s="76"/>
      <c r="G113" s="76" t="str">
        <f t="shared" si="1"/>
        <v>Не залито</v>
      </c>
    </row>
    <row r="114" spans="1:7" x14ac:dyDescent="0.25">
      <c r="A114" s="3" t="s">
        <v>86</v>
      </c>
      <c r="B114" s="162"/>
      <c r="C114" s="4">
        <v>17</v>
      </c>
      <c r="D114" s="78">
        <f>IF('5'!E21="","",'5'!E21)</f>
        <v>46251</v>
      </c>
      <c r="E114" s="76" t="s">
        <v>95</v>
      </c>
      <c r="F114" s="76"/>
      <c r="G114" s="76" t="str">
        <f t="shared" si="1"/>
        <v>Залито</v>
      </c>
    </row>
    <row r="115" spans="1:7" hidden="1" x14ac:dyDescent="0.25">
      <c r="A115" s="3" t="s">
        <v>86</v>
      </c>
      <c r="B115" s="162"/>
      <c r="C115" s="4">
        <v>18</v>
      </c>
      <c r="D115" s="78" t="str">
        <f>IF('5'!E22="","",'5'!E22)</f>
        <v/>
      </c>
      <c r="E115" s="76" t="s">
        <v>95</v>
      </c>
      <c r="F115" s="76"/>
      <c r="G115" s="76" t="str">
        <f t="shared" si="1"/>
        <v>Не залито</v>
      </c>
    </row>
    <row r="116" spans="1:7" x14ac:dyDescent="0.25">
      <c r="A116" s="3" t="s">
        <v>86</v>
      </c>
      <c r="B116" s="162"/>
      <c r="C116" s="4">
        <v>19</v>
      </c>
      <c r="D116" s="78">
        <f>IF('5'!E23="","",'5'!E23)</f>
        <v>46250</v>
      </c>
      <c r="E116" s="76" t="s">
        <v>95</v>
      </c>
      <c r="F116" s="76"/>
      <c r="G116" s="76" t="str">
        <f t="shared" si="1"/>
        <v>Залито</v>
      </c>
    </row>
    <row r="117" spans="1:7" hidden="1" x14ac:dyDescent="0.25">
      <c r="A117" s="3" t="s">
        <v>86</v>
      </c>
      <c r="B117" s="162"/>
      <c r="C117" s="4">
        <v>20</v>
      </c>
      <c r="D117" s="78" t="str">
        <f>IF('5'!E24="","",'5'!E24)</f>
        <v/>
      </c>
      <c r="E117" s="76" t="s">
        <v>95</v>
      </c>
      <c r="F117" s="76"/>
      <c r="G117" s="76" t="str">
        <f t="shared" si="1"/>
        <v>Не залито</v>
      </c>
    </row>
    <row r="118" spans="1:7" x14ac:dyDescent="0.25">
      <c r="A118" s="3" t="s">
        <v>86</v>
      </c>
      <c r="B118" s="162"/>
      <c r="C118" s="4">
        <v>21</v>
      </c>
      <c r="D118" s="78">
        <f>IF('5'!E25="","",'5'!E25)</f>
        <v>46249</v>
      </c>
      <c r="E118" s="76" t="s">
        <v>95</v>
      </c>
      <c r="F118" s="76"/>
      <c r="G118" s="76" t="str">
        <f t="shared" si="1"/>
        <v>Залито</v>
      </c>
    </row>
    <row r="119" spans="1:7" hidden="1" x14ac:dyDescent="0.25">
      <c r="A119" s="3" t="s">
        <v>86</v>
      </c>
      <c r="B119" s="162"/>
      <c r="C119" s="4">
        <v>22</v>
      </c>
      <c r="D119" s="78" t="str">
        <f>IF('5'!E26="","",'5'!E26)</f>
        <v/>
      </c>
      <c r="E119" s="76" t="s">
        <v>95</v>
      </c>
      <c r="F119" s="76"/>
      <c r="G119" s="76" t="str">
        <f t="shared" si="1"/>
        <v>Не залито</v>
      </c>
    </row>
    <row r="120" spans="1:7" hidden="1" x14ac:dyDescent="0.25">
      <c r="A120" s="3" t="s">
        <v>86</v>
      </c>
      <c r="B120" s="162"/>
      <c r="C120" s="4">
        <v>23</v>
      </c>
      <c r="D120" s="78">
        <f>IF('5'!E27="","",'5'!E27)</f>
        <v>46252</v>
      </c>
      <c r="E120" s="76" t="s">
        <v>95</v>
      </c>
      <c r="F120" s="76"/>
      <c r="G120" s="76" t="str">
        <f t="shared" si="1"/>
        <v>Залито</v>
      </c>
    </row>
    <row r="121" spans="1:7" hidden="1" x14ac:dyDescent="0.25">
      <c r="A121" s="3" t="s">
        <v>86</v>
      </c>
      <c r="B121" s="163"/>
      <c r="C121" s="4">
        <v>24</v>
      </c>
      <c r="D121" s="78" t="str">
        <f>IF('5'!E28="","",'5'!E28)</f>
        <v/>
      </c>
      <c r="E121" s="76" t="s">
        <v>95</v>
      </c>
      <c r="F121" s="76"/>
      <c r="G121" s="76" t="str">
        <f t="shared" si="1"/>
        <v>Не залито</v>
      </c>
    </row>
    <row r="122" spans="1:7" hidden="1" x14ac:dyDescent="0.25">
      <c r="A122" s="95" t="s">
        <v>6</v>
      </c>
      <c r="B122" s="161" t="s">
        <v>6</v>
      </c>
      <c r="C122" s="4">
        <v>1</v>
      </c>
      <c r="D122" s="78" t="str">
        <f>IF('6'!E5="","",'6'!E5)</f>
        <v/>
      </c>
      <c r="E122" s="76" t="s">
        <v>95</v>
      </c>
      <c r="F122" s="76"/>
      <c r="G122" s="76" t="str">
        <f t="shared" si="1"/>
        <v>Не залито</v>
      </c>
    </row>
    <row r="123" spans="1:7" hidden="1" x14ac:dyDescent="0.25">
      <c r="A123" s="95" t="s">
        <v>6</v>
      </c>
      <c r="B123" s="162"/>
      <c r="C123" s="4">
        <v>2</v>
      </c>
      <c r="D123" s="78" t="str">
        <f>IF('6'!E6="","",'6'!E6)</f>
        <v/>
      </c>
      <c r="E123" s="76" t="s">
        <v>95</v>
      </c>
      <c r="F123" s="76"/>
      <c r="G123" s="76" t="str">
        <f t="shared" si="1"/>
        <v>Не залито</v>
      </c>
    </row>
    <row r="124" spans="1:7" hidden="1" x14ac:dyDescent="0.25">
      <c r="A124" s="95" t="s">
        <v>6</v>
      </c>
      <c r="B124" s="162"/>
      <c r="C124" s="4">
        <v>3</v>
      </c>
      <c r="D124" s="78" t="str">
        <f>IF('6'!E7="","",'6'!E7)</f>
        <v/>
      </c>
      <c r="E124" s="76" t="s">
        <v>95</v>
      </c>
      <c r="F124" s="76"/>
      <c r="G124" s="76" t="str">
        <f t="shared" si="1"/>
        <v>Не залито</v>
      </c>
    </row>
    <row r="125" spans="1:7" hidden="1" x14ac:dyDescent="0.25">
      <c r="A125" s="95" t="s">
        <v>6</v>
      </c>
      <c r="B125" s="162"/>
      <c r="C125" s="4">
        <v>4</v>
      </c>
      <c r="D125" s="78" t="str">
        <f>IF('6'!E8="","",'6'!E8)</f>
        <v/>
      </c>
      <c r="E125" s="76" t="s">
        <v>95</v>
      </c>
      <c r="F125" s="76"/>
      <c r="G125" s="76" t="str">
        <f t="shared" si="1"/>
        <v>Не залито</v>
      </c>
    </row>
    <row r="126" spans="1:7" hidden="1" x14ac:dyDescent="0.25">
      <c r="A126" s="95" t="s">
        <v>6</v>
      </c>
      <c r="B126" s="162"/>
      <c r="C126" s="4">
        <v>5</v>
      </c>
      <c r="D126" s="78" t="str">
        <f>IF('6'!E9="","",'6'!E9)</f>
        <v/>
      </c>
      <c r="E126" s="76" t="s">
        <v>95</v>
      </c>
      <c r="F126" s="76"/>
      <c r="G126" s="76" t="str">
        <f t="shared" si="1"/>
        <v>Не залито</v>
      </c>
    </row>
    <row r="127" spans="1:7" hidden="1" x14ac:dyDescent="0.25">
      <c r="A127" s="95" t="s">
        <v>6</v>
      </c>
      <c r="B127" s="162"/>
      <c r="C127" s="4">
        <v>6</v>
      </c>
      <c r="D127" s="78" t="str">
        <f>IF('6'!E10="","",'6'!E10)</f>
        <v/>
      </c>
      <c r="E127" s="76" t="s">
        <v>95</v>
      </c>
      <c r="F127" s="76"/>
      <c r="G127" s="76" t="str">
        <f t="shared" si="1"/>
        <v>Не залито</v>
      </c>
    </row>
    <row r="128" spans="1:7" hidden="1" x14ac:dyDescent="0.25">
      <c r="A128" s="95" t="s">
        <v>6</v>
      </c>
      <c r="B128" s="162"/>
      <c r="C128" s="4">
        <v>7</v>
      </c>
      <c r="D128" s="78" t="str">
        <f>IF('6'!E11="","",'6'!E11)</f>
        <v/>
      </c>
      <c r="E128" s="76" t="s">
        <v>95</v>
      </c>
      <c r="F128" s="76"/>
      <c r="G128" s="76" t="str">
        <f t="shared" si="1"/>
        <v>Не залито</v>
      </c>
    </row>
    <row r="129" spans="1:7" hidden="1" x14ac:dyDescent="0.25">
      <c r="A129" s="95" t="s">
        <v>6</v>
      </c>
      <c r="B129" s="162"/>
      <c r="C129" s="4">
        <v>8</v>
      </c>
      <c r="D129" s="78" t="str">
        <f>IF('6'!E12="","",'6'!E12)</f>
        <v/>
      </c>
      <c r="E129" s="76" t="s">
        <v>95</v>
      </c>
      <c r="F129" s="76"/>
      <c r="G129" s="76" t="str">
        <f t="shared" si="1"/>
        <v>Не залито</v>
      </c>
    </row>
    <row r="130" spans="1:7" hidden="1" x14ac:dyDescent="0.25">
      <c r="A130" s="95" t="s">
        <v>6</v>
      </c>
      <c r="B130" s="162"/>
      <c r="C130" s="4">
        <v>9</v>
      </c>
      <c r="D130" s="78" t="str">
        <f>IF('6'!E13="","",'6'!E13)</f>
        <v/>
      </c>
      <c r="E130" s="76" t="s">
        <v>95</v>
      </c>
      <c r="F130" s="76"/>
      <c r="G130" s="76" t="str">
        <f t="shared" si="1"/>
        <v>Не залито</v>
      </c>
    </row>
    <row r="131" spans="1:7" hidden="1" x14ac:dyDescent="0.25">
      <c r="A131" s="95" t="s">
        <v>6</v>
      </c>
      <c r="B131" s="162"/>
      <c r="C131" s="4">
        <v>10</v>
      </c>
      <c r="D131" s="78" t="str">
        <f>IF('6'!E14="","",'6'!E14)</f>
        <v/>
      </c>
      <c r="E131" s="76" t="s">
        <v>95</v>
      </c>
      <c r="F131" s="76"/>
      <c r="G131" s="76" t="str">
        <f t="shared" ref="G131:G194" si="2">IF(OR(D131="", D131=0, ISBLANK(D131)), "Не залито", "Залито")</f>
        <v>Не залито</v>
      </c>
    </row>
    <row r="132" spans="1:7" hidden="1" x14ac:dyDescent="0.25">
      <c r="A132" s="95" t="s">
        <v>6</v>
      </c>
      <c r="B132" s="162"/>
      <c r="C132" s="4">
        <v>11</v>
      </c>
      <c r="D132" s="78" t="str">
        <f>IF('6'!E15="","",'6'!E15)</f>
        <v/>
      </c>
      <c r="E132" s="76" t="s">
        <v>95</v>
      </c>
      <c r="F132" s="76"/>
      <c r="G132" s="76" t="str">
        <f t="shared" si="2"/>
        <v>Не залито</v>
      </c>
    </row>
    <row r="133" spans="1:7" hidden="1" x14ac:dyDescent="0.25">
      <c r="A133" s="95" t="s">
        <v>6</v>
      </c>
      <c r="B133" s="162"/>
      <c r="C133" s="4">
        <v>12</v>
      </c>
      <c r="D133" s="78" t="str">
        <f>IF('6'!E16="","",'6'!E16)</f>
        <v/>
      </c>
      <c r="E133" s="76" t="s">
        <v>95</v>
      </c>
      <c r="F133" s="76"/>
      <c r="G133" s="76" t="str">
        <f t="shared" si="2"/>
        <v>Не залито</v>
      </c>
    </row>
    <row r="134" spans="1:7" hidden="1" x14ac:dyDescent="0.25">
      <c r="A134" s="95" t="s">
        <v>6</v>
      </c>
      <c r="B134" s="162"/>
      <c r="C134" s="4">
        <v>13</v>
      </c>
      <c r="D134" s="78" t="str">
        <f>IF('6'!E17="","",'6'!E17)</f>
        <v/>
      </c>
      <c r="E134" s="76" t="s">
        <v>95</v>
      </c>
      <c r="F134" s="76"/>
      <c r="G134" s="76" t="str">
        <f t="shared" si="2"/>
        <v>Не залито</v>
      </c>
    </row>
    <row r="135" spans="1:7" hidden="1" x14ac:dyDescent="0.25">
      <c r="A135" s="95" t="s">
        <v>6</v>
      </c>
      <c r="B135" s="162"/>
      <c r="C135" s="4">
        <v>14</v>
      </c>
      <c r="D135" s="78" t="str">
        <f>IF('6'!E18="","",'6'!E18)</f>
        <v/>
      </c>
      <c r="E135" s="76" t="s">
        <v>95</v>
      </c>
      <c r="F135" s="76"/>
      <c r="G135" s="76" t="str">
        <f t="shared" si="2"/>
        <v>Не залито</v>
      </c>
    </row>
    <row r="136" spans="1:7" hidden="1" x14ac:dyDescent="0.25">
      <c r="A136" s="95" t="s">
        <v>6</v>
      </c>
      <c r="B136" s="162"/>
      <c r="C136" s="4">
        <v>15</v>
      </c>
      <c r="D136" s="78" t="str">
        <f>IF('6'!E19="","",'6'!E19)</f>
        <v/>
      </c>
      <c r="E136" s="76" t="s">
        <v>95</v>
      </c>
      <c r="F136" s="76"/>
      <c r="G136" s="76" t="str">
        <f t="shared" si="2"/>
        <v>Не залито</v>
      </c>
    </row>
    <row r="137" spans="1:7" hidden="1" x14ac:dyDescent="0.25">
      <c r="A137" s="95" t="s">
        <v>6</v>
      </c>
      <c r="B137" s="162"/>
      <c r="C137" s="4">
        <v>16</v>
      </c>
      <c r="D137" s="78" t="str">
        <f>IF('6'!E20="","",'6'!E20)</f>
        <v/>
      </c>
      <c r="E137" s="76" t="s">
        <v>95</v>
      </c>
      <c r="F137" s="76"/>
      <c r="G137" s="76" t="str">
        <f t="shared" si="2"/>
        <v>Не залито</v>
      </c>
    </row>
    <row r="138" spans="1:7" hidden="1" x14ac:dyDescent="0.25">
      <c r="A138" s="95" t="s">
        <v>6</v>
      </c>
      <c r="B138" s="162"/>
      <c r="C138" s="4">
        <v>17</v>
      </c>
      <c r="D138" s="78" t="str">
        <f>IF('6'!E21="","",'6'!E21)</f>
        <v/>
      </c>
      <c r="E138" s="76" t="s">
        <v>95</v>
      </c>
      <c r="F138" s="76"/>
      <c r="G138" s="76" t="str">
        <f t="shared" si="2"/>
        <v>Не залито</v>
      </c>
    </row>
    <row r="139" spans="1:7" hidden="1" x14ac:dyDescent="0.25">
      <c r="A139" s="95" t="s">
        <v>6</v>
      </c>
      <c r="B139" s="162"/>
      <c r="C139" s="4">
        <v>18</v>
      </c>
      <c r="D139" s="78" t="str">
        <f>IF('6'!E22="","",'6'!E22)</f>
        <v/>
      </c>
      <c r="E139" s="76" t="s">
        <v>95</v>
      </c>
      <c r="F139" s="76"/>
      <c r="G139" s="76" t="str">
        <f t="shared" si="2"/>
        <v>Не залито</v>
      </c>
    </row>
    <row r="140" spans="1:7" hidden="1" x14ac:dyDescent="0.25">
      <c r="A140" s="95" t="s">
        <v>6</v>
      </c>
      <c r="B140" s="162"/>
      <c r="C140" s="4">
        <v>19</v>
      </c>
      <c r="D140" s="78" t="str">
        <f>IF('6'!E23="","",'6'!E23)</f>
        <v/>
      </c>
      <c r="E140" s="76" t="s">
        <v>95</v>
      </c>
      <c r="F140" s="76"/>
      <c r="G140" s="76" t="str">
        <f t="shared" si="2"/>
        <v>Не залито</v>
      </c>
    </row>
    <row r="141" spans="1:7" hidden="1" x14ac:dyDescent="0.25">
      <c r="A141" s="95" t="s">
        <v>6</v>
      </c>
      <c r="B141" s="162"/>
      <c r="C141" s="4">
        <v>20</v>
      </c>
      <c r="D141" s="78" t="str">
        <f>IF('6'!E24="","",'6'!E24)</f>
        <v/>
      </c>
      <c r="E141" s="76" t="s">
        <v>95</v>
      </c>
      <c r="F141" s="76"/>
      <c r="G141" s="76" t="str">
        <f t="shared" si="2"/>
        <v>Не залито</v>
      </c>
    </row>
    <row r="142" spans="1:7" hidden="1" x14ac:dyDescent="0.25">
      <c r="A142" s="95" t="s">
        <v>6</v>
      </c>
      <c r="B142" s="162"/>
      <c r="C142" s="4">
        <v>21</v>
      </c>
      <c r="D142" s="78" t="str">
        <f>IF('6'!E25="","",'6'!E25)</f>
        <v/>
      </c>
      <c r="E142" s="76" t="s">
        <v>95</v>
      </c>
      <c r="F142" s="76"/>
      <c r="G142" s="76" t="str">
        <f t="shared" si="2"/>
        <v>Не залито</v>
      </c>
    </row>
    <row r="143" spans="1:7" hidden="1" x14ac:dyDescent="0.25">
      <c r="A143" s="95" t="s">
        <v>6</v>
      </c>
      <c r="B143" s="162"/>
      <c r="C143" s="4">
        <v>22</v>
      </c>
      <c r="D143" s="78" t="str">
        <f>IF('6'!E26="","",'6'!E26)</f>
        <v/>
      </c>
      <c r="E143" s="76" t="s">
        <v>95</v>
      </c>
      <c r="F143" s="76"/>
      <c r="G143" s="76" t="str">
        <f t="shared" si="2"/>
        <v>Не залито</v>
      </c>
    </row>
    <row r="144" spans="1:7" hidden="1" x14ac:dyDescent="0.25">
      <c r="A144" s="95" t="s">
        <v>6</v>
      </c>
      <c r="B144" s="162"/>
      <c r="C144" s="4">
        <v>23</v>
      </c>
      <c r="D144" s="78" t="str">
        <f>IF('6'!E27="","",'6'!E27)</f>
        <v/>
      </c>
      <c r="E144" s="76" t="s">
        <v>95</v>
      </c>
      <c r="F144" s="76"/>
      <c r="G144" s="76" t="str">
        <f t="shared" si="2"/>
        <v>Не залито</v>
      </c>
    </row>
    <row r="145" spans="1:7" hidden="1" x14ac:dyDescent="0.25">
      <c r="A145" s="95" t="s">
        <v>6</v>
      </c>
      <c r="B145" s="163"/>
      <c r="C145" s="4">
        <v>24</v>
      </c>
      <c r="D145" s="78" t="str">
        <f>IF('6'!E28="","",'6'!E28)</f>
        <v/>
      </c>
      <c r="E145" s="76" t="s">
        <v>95</v>
      </c>
      <c r="F145" s="76"/>
      <c r="G145" s="76" t="str">
        <f t="shared" si="2"/>
        <v>Не залито</v>
      </c>
    </row>
    <row r="146" spans="1:7" x14ac:dyDescent="0.25">
      <c r="A146" s="96" t="s">
        <v>87</v>
      </c>
      <c r="B146" s="161" t="s">
        <v>87</v>
      </c>
      <c r="C146" s="4">
        <v>1</v>
      </c>
      <c r="D146" s="78">
        <f>IF('7'!E5="","",'7'!E5)</f>
        <v>46250</v>
      </c>
      <c r="E146" s="76" t="s">
        <v>95</v>
      </c>
      <c r="F146" s="76"/>
      <c r="G146" s="76" t="str">
        <f t="shared" si="2"/>
        <v>Залито</v>
      </c>
    </row>
    <row r="147" spans="1:7" hidden="1" x14ac:dyDescent="0.25">
      <c r="A147" s="96" t="s">
        <v>87</v>
      </c>
      <c r="B147" s="162"/>
      <c r="C147" s="4">
        <v>2</v>
      </c>
      <c r="D147" s="78" t="str">
        <f>IF('7'!E6="","",'7'!E6)</f>
        <v/>
      </c>
      <c r="E147" s="76" t="s">
        <v>95</v>
      </c>
      <c r="F147" s="76"/>
      <c r="G147" s="76" t="str">
        <f t="shared" si="2"/>
        <v>Не залито</v>
      </c>
    </row>
    <row r="148" spans="1:7" x14ac:dyDescent="0.25">
      <c r="A148" s="96" t="s">
        <v>87</v>
      </c>
      <c r="B148" s="162"/>
      <c r="C148" s="4">
        <v>3</v>
      </c>
      <c r="D148" s="78">
        <f>IF('7'!E7="","",'7'!E7)</f>
        <v>46245</v>
      </c>
      <c r="E148" s="76" t="s">
        <v>95</v>
      </c>
      <c r="F148" s="76"/>
      <c r="G148" s="76" t="str">
        <f t="shared" si="2"/>
        <v>Залито</v>
      </c>
    </row>
    <row r="149" spans="1:7" x14ac:dyDescent="0.25">
      <c r="A149" s="96" t="s">
        <v>87</v>
      </c>
      <c r="B149" s="162"/>
      <c r="C149" s="4">
        <v>4</v>
      </c>
      <c r="D149" s="78">
        <f>IF('7'!E8="","",'7'!E8)</f>
        <v>46247</v>
      </c>
      <c r="E149" s="76" t="s">
        <v>95</v>
      </c>
      <c r="F149" s="76"/>
      <c r="G149" s="76" t="str">
        <f t="shared" si="2"/>
        <v>Залито</v>
      </c>
    </row>
    <row r="150" spans="1:7" x14ac:dyDescent="0.25">
      <c r="A150" s="96" t="s">
        <v>87</v>
      </c>
      <c r="B150" s="162"/>
      <c r="C150" s="4">
        <v>5</v>
      </c>
      <c r="D150" s="78">
        <f>IF('7'!E9="","",'7'!E9)</f>
        <v>46245</v>
      </c>
      <c r="E150" s="76" t="s">
        <v>95</v>
      </c>
      <c r="F150" s="76"/>
      <c r="G150" s="76" t="str">
        <f t="shared" si="2"/>
        <v>Залито</v>
      </c>
    </row>
    <row r="151" spans="1:7" x14ac:dyDescent="0.25">
      <c r="A151" s="96" t="s">
        <v>87</v>
      </c>
      <c r="B151" s="162"/>
      <c r="C151" s="4">
        <v>6</v>
      </c>
      <c r="D151" s="78">
        <f>IF('7'!E10="","",'7'!E10)</f>
        <v>46247</v>
      </c>
      <c r="E151" s="76" t="s">
        <v>95</v>
      </c>
      <c r="F151" s="76"/>
      <c r="G151" s="76" t="str">
        <f t="shared" si="2"/>
        <v>Залито</v>
      </c>
    </row>
    <row r="152" spans="1:7" x14ac:dyDescent="0.25">
      <c r="A152" s="96" t="s">
        <v>87</v>
      </c>
      <c r="B152" s="162"/>
      <c r="C152" s="4">
        <v>7</v>
      </c>
      <c r="D152" s="78">
        <f>IF('7'!E11="","",'7'!E11)</f>
        <v>46245</v>
      </c>
      <c r="E152" s="76" t="s">
        <v>95</v>
      </c>
      <c r="F152" s="76"/>
      <c r="G152" s="76" t="str">
        <f t="shared" si="2"/>
        <v>Залито</v>
      </c>
    </row>
    <row r="153" spans="1:7" x14ac:dyDescent="0.25">
      <c r="A153" s="96" t="s">
        <v>87</v>
      </c>
      <c r="B153" s="162"/>
      <c r="C153" s="4">
        <v>8</v>
      </c>
      <c r="D153" s="78">
        <f>IF('7'!E12="","",'7'!E12)</f>
        <v>46247</v>
      </c>
      <c r="E153" s="76" t="s">
        <v>95</v>
      </c>
      <c r="F153" s="76"/>
      <c r="G153" s="76" t="str">
        <f t="shared" si="2"/>
        <v>Залито</v>
      </c>
    </row>
    <row r="154" spans="1:7" x14ac:dyDescent="0.25">
      <c r="A154" s="96" t="s">
        <v>87</v>
      </c>
      <c r="B154" s="162"/>
      <c r="C154" s="4">
        <v>9</v>
      </c>
      <c r="D154" s="78">
        <f>IF('7'!E13="","",'7'!E13)</f>
        <v>46244</v>
      </c>
      <c r="E154" s="76" t="s">
        <v>95</v>
      </c>
      <c r="F154" s="76"/>
      <c r="G154" s="76" t="str">
        <f t="shared" si="2"/>
        <v>Залито</v>
      </c>
    </row>
    <row r="155" spans="1:7" x14ac:dyDescent="0.25">
      <c r="A155" s="96" t="s">
        <v>87</v>
      </c>
      <c r="B155" s="162"/>
      <c r="C155" s="4">
        <v>10</v>
      </c>
      <c r="D155" s="78">
        <f>IF('7'!E14="","",'7'!E14)</f>
        <v>46250</v>
      </c>
      <c r="E155" s="76" t="s">
        <v>95</v>
      </c>
      <c r="F155" s="76"/>
      <c r="G155" s="76" t="str">
        <f t="shared" si="2"/>
        <v>Залито</v>
      </c>
    </row>
    <row r="156" spans="1:7" x14ac:dyDescent="0.25">
      <c r="A156" s="96" t="s">
        <v>87</v>
      </c>
      <c r="B156" s="162"/>
      <c r="C156" s="4">
        <v>11</v>
      </c>
      <c r="D156" s="78">
        <f>IF('7'!E15="","",'7'!E15)</f>
        <v>46244</v>
      </c>
      <c r="E156" s="76" t="s">
        <v>95</v>
      </c>
      <c r="F156" s="76"/>
      <c r="G156" s="76" t="str">
        <f t="shared" si="2"/>
        <v>Залито</v>
      </c>
    </row>
    <row r="157" spans="1:7" x14ac:dyDescent="0.25">
      <c r="A157" s="96" t="s">
        <v>87</v>
      </c>
      <c r="B157" s="162"/>
      <c r="C157" s="4">
        <v>12</v>
      </c>
      <c r="D157" s="78">
        <f>IF('7'!E16="","",'7'!E16)</f>
        <v>46250</v>
      </c>
      <c r="E157" s="76" t="s">
        <v>95</v>
      </c>
      <c r="F157" s="76"/>
      <c r="G157" s="76" t="str">
        <f t="shared" si="2"/>
        <v>Залито</v>
      </c>
    </row>
    <row r="158" spans="1:7" x14ac:dyDescent="0.25">
      <c r="A158" s="96" t="s">
        <v>87</v>
      </c>
      <c r="B158" s="162"/>
      <c r="C158" s="4">
        <v>13</v>
      </c>
      <c r="D158" s="78">
        <f>IF('7'!E17="","",'7'!E17)</f>
        <v>46243</v>
      </c>
      <c r="E158" s="76" t="s">
        <v>95</v>
      </c>
      <c r="F158" s="76"/>
      <c r="G158" s="76" t="str">
        <f t="shared" si="2"/>
        <v>Залито</v>
      </c>
    </row>
    <row r="159" spans="1:7" hidden="1" x14ac:dyDescent="0.25">
      <c r="A159" s="96" t="s">
        <v>87</v>
      </c>
      <c r="B159" s="162"/>
      <c r="C159" s="4">
        <v>14</v>
      </c>
      <c r="D159" s="78" t="str">
        <f>IF('7'!E18="","",'7'!E18)</f>
        <v/>
      </c>
      <c r="E159" s="76" t="s">
        <v>95</v>
      </c>
      <c r="F159" s="76"/>
      <c r="G159" s="76" t="str">
        <f t="shared" si="2"/>
        <v>Не залито</v>
      </c>
    </row>
    <row r="160" spans="1:7" x14ac:dyDescent="0.25">
      <c r="A160" s="96" t="s">
        <v>87</v>
      </c>
      <c r="B160" s="162"/>
      <c r="C160" s="4">
        <v>15</v>
      </c>
      <c r="D160" s="78">
        <f>IF('7'!E19="","",'7'!E19)</f>
        <v>46246</v>
      </c>
      <c r="E160" s="76" t="s">
        <v>95</v>
      </c>
      <c r="F160" s="76"/>
      <c r="G160" s="76" t="str">
        <f t="shared" si="2"/>
        <v>Залито</v>
      </c>
    </row>
    <row r="161" spans="1:7" x14ac:dyDescent="0.25">
      <c r="A161" s="96" t="s">
        <v>87</v>
      </c>
      <c r="B161" s="162"/>
      <c r="C161" s="4">
        <v>16</v>
      </c>
      <c r="D161" s="78">
        <f>IF('7'!E20="","",'7'!E20)</f>
        <v>46249</v>
      </c>
      <c r="E161" s="76" t="s">
        <v>95</v>
      </c>
      <c r="F161" s="76"/>
      <c r="G161" s="76" t="str">
        <f t="shared" si="2"/>
        <v>Залито</v>
      </c>
    </row>
    <row r="162" spans="1:7" x14ac:dyDescent="0.25">
      <c r="A162" s="96" t="s">
        <v>87</v>
      </c>
      <c r="B162" s="162"/>
      <c r="C162" s="4">
        <v>17</v>
      </c>
      <c r="D162" s="78">
        <f>IF('7'!E21="","",'7'!E21)</f>
        <v>46246</v>
      </c>
      <c r="E162" s="76" t="s">
        <v>95</v>
      </c>
      <c r="F162" s="76"/>
      <c r="G162" s="76" t="str">
        <f t="shared" si="2"/>
        <v>Залито</v>
      </c>
    </row>
    <row r="163" spans="1:7" x14ac:dyDescent="0.25">
      <c r="A163" s="96" t="s">
        <v>87</v>
      </c>
      <c r="B163" s="162"/>
      <c r="C163" s="4">
        <v>18</v>
      </c>
      <c r="D163" s="78">
        <f>IF('7'!E22="","",'7'!E22)</f>
        <v>46249</v>
      </c>
      <c r="E163" s="76" t="s">
        <v>95</v>
      </c>
      <c r="F163" s="76"/>
      <c r="G163" s="76" t="str">
        <f t="shared" si="2"/>
        <v>Залито</v>
      </c>
    </row>
    <row r="164" spans="1:7" x14ac:dyDescent="0.25">
      <c r="A164" s="96" t="s">
        <v>87</v>
      </c>
      <c r="B164" s="162"/>
      <c r="C164" s="4">
        <v>19</v>
      </c>
      <c r="D164" s="78">
        <f>IF('7'!E23="","",'7'!E23)</f>
        <v>46246</v>
      </c>
      <c r="E164" s="76" t="s">
        <v>95</v>
      </c>
      <c r="F164" s="76"/>
      <c r="G164" s="76" t="str">
        <f t="shared" si="2"/>
        <v>Залито</v>
      </c>
    </row>
    <row r="165" spans="1:7" x14ac:dyDescent="0.25">
      <c r="A165" s="96" t="s">
        <v>87</v>
      </c>
      <c r="B165" s="162"/>
      <c r="C165" s="4">
        <v>20</v>
      </c>
      <c r="D165" s="78">
        <f>IF('7'!E24="","",'7'!E24)</f>
        <v>46251</v>
      </c>
      <c r="E165" s="76" t="s">
        <v>95</v>
      </c>
      <c r="F165" s="76"/>
      <c r="G165" s="76" t="str">
        <f t="shared" si="2"/>
        <v>Залито</v>
      </c>
    </row>
    <row r="166" spans="1:7" x14ac:dyDescent="0.25">
      <c r="A166" s="96" t="s">
        <v>87</v>
      </c>
      <c r="B166" s="162"/>
      <c r="C166" s="4">
        <v>21</v>
      </c>
      <c r="D166" s="78">
        <f>IF('7'!E25="","",'7'!E25)</f>
        <v>46248</v>
      </c>
      <c r="E166" s="76" t="s">
        <v>95</v>
      </c>
      <c r="F166" s="76"/>
      <c r="G166" s="76" t="str">
        <f t="shared" si="2"/>
        <v>Залито</v>
      </c>
    </row>
    <row r="167" spans="1:7" x14ac:dyDescent="0.25">
      <c r="A167" s="96" t="s">
        <v>87</v>
      </c>
      <c r="B167" s="162"/>
      <c r="C167" s="4">
        <v>22</v>
      </c>
      <c r="D167" s="78">
        <f>IF('7'!E26="","",'7'!E26)</f>
        <v>46250</v>
      </c>
      <c r="E167" s="76" t="s">
        <v>95</v>
      </c>
      <c r="F167" s="76"/>
      <c r="G167" s="76" t="str">
        <f t="shared" si="2"/>
        <v>Залито</v>
      </c>
    </row>
    <row r="168" spans="1:7" x14ac:dyDescent="0.25">
      <c r="A168" s="96" t="s">
        <v>87</v>
      </c>
      <c r="B168" s="162"/>
      <c r="C168" s="4">
        <v>23</v>
      </c>
      <c r="D168" s="78">
        <f>IF('7'!E27="","",'7'!E27)</f>
        <v>46249</v>
      </c>
      <c r="E168" s="76" t="s">
        <v>95</v>
      </c>
      <c r="F168" s="76"/>
      <c r="G168" s="76" t="str">
        <f t="shared" si="2"/>
        <v>Залито</v>
      </c>
    </row>
    <row r="169" spans="1:7" hidden="1" x14ac:dyDescent="0.25">
      <c r="A169" s="96" t="s">
        <v>87</v>
      </c>
      <c r="B169" s="163"/>
      <c r="C169" s="4">
        <v>24</v>
      </c>
      <c r="D169" s="78" t="str">
        <f>IF('7'!E28="","",'7'!E28)</f>
        <v/>
      </c>
      <c r="E169" s="76" t="s">
        <v>95</v>
      </c>
      <c r="F169" s="76"/>
      <c r="G169" s="76" t="str">
        <f t="shared" si="2"/>
        <v>Не залито</v>
      </c>
    </row>
    <row r="170" spans="1:7" hidden="1" x14ac:dyDescent="0.25">
      <c r="A170" s="97" t="s">
        <v>23</v>
      </c>
      <c r="B170" s="161" t="s">
        <v>23</v>
      </c>
      <c r="C170" s="4">
        <v>1</v>
      </c>
      <c r="D170" s="78" t="str">
        <f>IF('8'!E5="","",'8'!E5)</f>
        <v/>
      </c>
      <c r="E170" s="76" t="s">
        <v>95</v>
      </c>
      <c r="F170" s="76"/>
      <c r="G170" s="76" t="str">
        <f t="shared" si="2"/>
        <v>Не залито</v>
      </c>
    </row>
    <row r="171" spans="1:7" x14ac:dyDescent="0.25">
      <c r="A171" s="97" t="s">
        <v>23</v>
      </c>
      <c r="B171" s="162"/>
      <c r="C171" s="4">
        <v>2</v>
      </c>
      <c r="D171" s="78">
        <f>IF('8'!E6="","",'8'!E6)</f>
        <v>46252</v>
      </c>
      <c r="E171" s="76" t="s">
        <v>95</v>
      </c>
      <c r="F171" s="76"/>
      <c r="G171" s="76" t="str">
        <f t="shared" si="2"/>
        <v>Залито</v>
      </c>
    </row>
    <row r="172" spans="1:7" hidden="1" x14ac:dyDescent="0.25">
      <c r="A172" s="97" t="s">
        <v>23</v>
      </c>
      <c r="B172" s="162"/>
      <c r="C172" s="4">
        <v>3</v>
      </c>
      <c r="D172" s="78" t="str">
        <f>IF('8'!E7="","",'8'!E7)</f>
        <v/>
      </c>
      <c r="E172" s="76" t="s">
        <v>95</v>
      </c>
      <c r="F172" s="76"/>
      <c r="G172" s="76" t="str">
        <f t="shared" si="2"/>
        <v>Не залито</v>
      </c>
    </row>
    <row r="173" spans="1:7" hidden="1" x14ac:dyDescent="0.25">
      <c r="A173" s="97" t="s">
        <v>23</v>
      </c>
      <c r="B173" s="162"/>
      <c r="C173" s="4">
        <v>4</v>
      </c>
      <c r="D173" s="78" t="str">
        <f>IF('8'!E8="","",'8'!E8)</f>
        <v/>
      </c>
      <c r="E173" s="76" t="s">
        <v>95</v>
      </c>
      <c r="F173" s="76"/>
      <c r="G173" s="76" t="str">
        <f t="shared" si="2"/>
        <v>Не залито</v>
      </c>
    </row>
    <row r="174" spans="1:7" hidden="1" x14ac:dyDescent="0.25">
      <c r="A174" s="97" t="s">
        <v>23</v>
      </c>
      <c r="B174" s="162"/>
      <c r="C174" s="4">
        <v>5</v>
      </c>
      <c r="D174" s="78" t="str">
        <f>IF('8'!E9="","",'8'!E9)</f>
        <v/>
      </c>
      <c r="E174" s="76" t="s">
        <v>95</v>
      </c>
      <c r="F174" s="76"/>
      <c r="G174" s="76" t="str">
        <f t="shared" si="2"/>
        <v>Не залито</v>
      </c>
    </row>
    <row r="175" spans="1:7" hidden="1" x14ac:dyDescent="0.25">
      <c r="A175" s="97" t="s">
        <v>23</v>
      </c>
      <c r="B175" s="162"/>
      <c r="C175" s="4">
        <v>6</v>
      </c>
      <c r="D175" s="78" t="str">
        <f>IF('8'!E10="","",'8'!E10)</f>
        <v/>
      </c>
      <c r="E175" s="76" t="s">
        <v>95</v>
      </c>
      <c r="F175" s="76"/>
      <c r="G175" s="76" t="str">
        <f t="shared" si="2"/>
        <v>Не залито</v>
      </c>
    </row>
    <row r="176" spans="1:7" hidden="1" x14ac:dyDescent="0.25">
      <c r="A176" s="97" t="s">
        <v>23</v>
      </c>
      <c r="B176" s="162"/>
      <c r="C176" s="4">
        <v>7</v>
      </c>
      <c r="D176" s="78" t="str">
        <f>IF('8'!E11="","",'8'!E11)</f>
        <v/>
      </c>
      <c r="E176" s="76" t="s">
        <v>95</v>
      </c>
      <c r="F176" s="76"/>
      <c r="G176" s="76" t="str">
        <f t="shared" si="2"/>
        <v>Не залито</v>
      </c>
    </row>
    <row r="177" spans="1:7" hidden="1" x14ac:dyDescent="0.25">
      <c r="A177" s="97" t="s">
        <v>23</v>
      </c>
      <c r="B177" s="162"/>
      <c r="C177" s="4">
        <v>8</v>
      </c>
      <c r="D177" s="78" t="str">
        <f>IF('8'!E12="","",'8'!E12)</f>
        <v/>
      </c>
      <c r="E177" s="76" t="s">
        <v>95</v>
      </c>
      <c r="F177" s="76"/>
      <c r="G177" s="76" t="str">
        <f t="shared" si="2"/>
        <v>Не залито</v>
      </c>
    </row>
    <row r="178" spans="1:7" hidden="1" x14ac:dyDescent="0.25">
      <c r="A178" s="97" t="s">
        <v>23</v>
      </c>
      <c r="B178" s="162"/>
      <c r="C178" s="4">
        <v>9</v>
      </c>
      <c r="D178" s="78" t="str">
        <f>IF('8'!E13="","",'8'!E13)</f>
        <v/>
      </c>
      <c r="E178" s="76" t="s">
        <v>95</v>
      </c>
      <c r="F178" s="76"/>
      <c r="G178" s="76" t="str">
        <f t="shared" si="2"/>
        <v>Не залито</v>
      </c>
    </row>
    <row r="179" spans="1:7" hidden="1" x14ac:dyDescent="0.25">
      <c r="A179" s="97" t="s">
        <v>23</v>
      </c>
      <c r="B179" s="162"/>
      <c r="C179" s="4">
        <v>10</v>
      </c>
      <c r="D179" s="78" t="str">
        <f>IF('8'!E14="","",'8'!E14)</f>
        <v/>
      </c>
      <c r="E179" s="76" t="s">
        <v>95</v>
      </c>
      <c r="F179" s="76"/>
      <c r="G179" s="76" t="str">
        <f t="shared" si="2"/>
        <v>Не залито</v>
      </c>
    </row>
    <row r="180" spans="1:7" x14ac:dyDescent="0.25">
      <c r="A180" s="97" t="s">
        <v>23</v>
      </c>
      <c r="B180" s="162"/>
      <c r="C180" s="4">
        <v>11</v>
      </c>
      <c r="D180" s="78">
        <f>IF('8'!E15="","",'8'!E15)</f>
        <v>46252</v>
      </c>
      <c r="E180" s="76" t="s">
        <v>95</v>
      </c>
      <c r="F180" s="76"/>
      <c r="G180" s="76" t="str">
        <f t="shared" si="2"/>
        <v>Залито</v>
      </c>
    </row>
    <row r="181" spans="1:7" hidden="1" x14ac:dyDescent="0.25">
      <c r="A181" s="97" t="s">
        <v>23</v>
      </c>
      <c r="B181" s="162"/>
      <c r="C181" s="4">
        <v>12</v>
      </c>
      <c r="D181" s="78" t="str">
        <f>IF('8'!E16="","",'8'!E16)</f>
        <v/>
      </c>
      <c r="E181" s="76" t="s">
        <v>95</v>
      </c>
      <c r="F181" s="76"/>
      <c r="G181" s="76" t="str">
        <f t="shared" si="2"/>
        <v>Не залито</v>
      </c>
    </row>
    <row r="182" spans="1:7" hidden="1" x14ac:dyDescent="0.25">
      <c r="A182" s="97" t="s">
        <v>23</v>
      </c>
      <c r="B182" s="162"/>
      <c r="C182" s="4">
        <v>13</v>
      </c>
      <c r="D182" s="78">
        <f>IF('8'!E17="","",'8'!E17)</f>
        <v>46253</v>
      </c>
      <c r="E182" s="76" t="s">
        <v>95</v>
      </c>
      <c r="F182" s="76"/>
      <c r="G182" s="76" t="str">
        <f t="shared" si="2"/>
        <v>Залито</v>
      </c>
    </row>
    <row r="183" spans="1:7" hidden="1" x14ac:dyDescent="0.25">
      <c r="A183" s="97" t="s">
        <v>23</v>
      </c>
      <c r="B183" s="162"/>
      <c r="C183" s="4">
        <v>14</v>
      </c>
      <c r="D183" s="78" t="str">
        <f>IF('8'!E18="","",'8'!E18)</f>
        <v/>
      </c>
      <c r="E183" s="76" t="s">
        <v>95</v>
      </c>
      <c r="F183" s="76"/>
      <c r="G183" s="76" t="str">
        <f t="shared" si="2"/>
        <v>Не залито</v>
      </c>
    </row>
    <row r="184" spans="1:7" x14ac:dyDescent="0.25">
      <c r="A184" s="97" t="s">
        <v>23</v>
      </c>
      <c r="B184" s="162"/>
      <c r="C184" s="4">
        <v>15</v>
      </c>
      <c r="D184" s="78">
        <f>IF('8'!E19="","",'8'!E19)</f>
        <v>46251</v>
      </c>
      <c r="E184" s="76" t="s">
        <v>95</v>
      </c>
      <c r="F184" s="76"/>
      <c r="G184" s="76" t="str">
        <f t="shared" si="2"/>
        <v>Залито</v>
      </c>
    </row>
    <row r="185" spans="1:7" hidden="1" x14ac:dyDescent="0.25">
      <c r="A185" s="97" t="s">
        <v>23</v>
      </c>
      <c r="B185" s="162"/>
      <c r="C185" s="4">
        <v>16</v>
      </c>
      <c r="D185" s="78" t="str">
        <f>IF('8'!E20="","",'8'!E20)</f>
        <v/>
      </c>
      <c r="E185" s="76" t="s">
        <v>95</v>
      </c>
      <c r="F185" s="76"/>
      <c r="G185" s="76" t="str">
        <f t="shared" si="2"/>
        <v>Не залито</v>
      </c>
    </row>
    <row r="186" spans="1:7" hidden="1" x14ac:dyDescent="0.25">
      <c r="A186" s="97" t="s">
        <v>23</v>
      </c>
      <c r="B186" s="162"/>
      <c r="C186" s="4">
        <v>17</v>
      </c>
      <c r="D186" s="78" t="str">
        <f>IF('8'!E21="","",'8'!E21)</f>
        <v/>
      </c>
      <c r="E186" s="76" t="s">
        <v>95</v>
      </c>
      <c r="F186" s="76"/>
      <c r="G186" s="76" t="str">
        <f t="shared" si="2"/>
        <v>Не залито</v>
      </c>
    </row>
    <row r="187" spans="1:7" hidden="1" x14ac:dyDescent="0.25">
      <c r="A187" s="97" t="s">
        <v>23</v>
      </c>
      <c r="B187" s="162"/>
      <c r="C187" s="4">
        <v>18</v>
      </c>
      <c r="D187" s="78" t="str">
        <f>IF('8'!E22="","",'8'!E22)</f>
        <v/>
      </c>
      <c r="E187" s="76" t="s">
        <v>95</v>
      </c>
      <c r="F187" s="76"/>
      <c r="G187" s="76" t="str">
        <f t="shared" si="2"/>
        <v>Не залито</v>
      </c>
    </row>
    <row r="188" spans="1:7" hidden="1" x14ac:dyDescent="0.25">
      <c r="A188" s="97" t="s">
        <v>23</v>
      </c>
      <c r="B188" s="162"/>
      <c r="C188" s="4">
        <v>19</v>
      </c>
      <c r="D188" s="78" t="str">
        <f>IF('8'!E23="","",'8'!E23)</f>
        <v/>
      </c>
      <c r="E188" s="76" t="s">
        <v>95</v>
      </c>
      <c r="F188" s="76"/>
      <c r="G188" s="76" t="str">
        <f t="shared" si="2"/>
        <v>Не залито</v>
      </c>
    </row>
    <row r="189" spans="1:7" hidden="1" x14ac:dyDescent="0.25">
      <c r="A189" s="97" t="s">
        <v>23</v>
      </c>
      <c r="B189" s="162"/>
      <c r="C189" s="4">
        <v>20</v>
      </c>
      <c r="D189" s="78" t="str">
        <f>IF('8'!E24="","",'8'!E24)</f>
        <v/>
      </c>
      <c r="E189" s="76" t="s">
        <v>95</v>
      </c>
      <c r="F189" s="76"/>
      <c r="G189" s="76" t="str">
        <f t="shared" si="2"/>
        <v>Не залито</v>
      </c>
    </row>
    <row r="190" spans="1:7" hidden="1" x14ac:dyDescent="0.25">
      <c r="A190" s="97" t="s">
        <v>23</v>
      </c>
      <c r="B190" s="162"/>
      <c r="C190" s="4">
        <v>21</v>
      </c>
      <c r="D190" s="78" t="str">
        <f>IF('8'!E25="","",'8'!E25)</f>
        <v/>
      </c>
      <c r="E190" s="76" t="s">
        <v>95</v>
      </c>
      <c r="F190" s="76"/>
      <c r="G190" s="76" t="str">
        <f t="shared" si="2"/>
        <v>Не залито</v>
      </c>
    </row>
    <row r="191" spans="1:7" hidden="1" x14ac:dyDescent="0.25">
      <c r="A191" s="97" t="s">
        <v>23</v>
      </c>
      <c r="B191" s="162"/>
      <c r="C191" s="4">
        <v>22</v>
      </c>
      <c r="D191" s="78" t="str">
        <f>IF('8'!E26="","",'8'!E26)</f>
        <v/>
      </c>
      <c r="E191" s="76" t="s">
        <v>95</v>
      </c>
      <c r="F191" s="76"/>
      <c r="G191" s="76" t="str">
        <f t="shared" si="2"/>
        <v>Не залито</v>
      </c>
    </row>
    <row r="192" spans="1:7" hidden="1" x14ac:dyDescent="0.25">
      <c r="A192" s="97" t="s">
        <v>23</v>
      </c>
      <c r="B192" s="162"/>
      <c r="C192" s="4">
        <v>23</v>
      </c>
      <c r="D192" s="78">
        <f>IF('8'!E27="","",'8'!E27)</f>
        <v>46252</v>
      </c>
      <c r="E192" s="76" t="s">
        <v>95</v>
      </c>
      <c r="F192" s="76"/>
      <c r="G192" s="76" t="str">
        <f t="shared" si="2"/>
        <v>Залито</v>
      </c>
    </row>
    <row r="193" spans="1:7" hidden="1" x14ac:dyDescent="0.25">
      <c r="A193" s="97" t="s">
        <v>23</v>
      </c>
      <c r="B193" s="163"/>
      <c r="C193" s="4">
        <v>24</v>
      </c>
      <c r="D193" s="78" t="str">
        <f>IF('8'!E28="","",'8'!E28)</f>
        <v/>
      </c>
      <c r="E193" s="76" t="s">
        <v>95</v>
      </c>
      <c r="F193" s="76"/>
      <c r="G193" s="76" t="str">
        <f t="shared" si="2"/>
        <v>Не залито</v>
      </c>
    </row>
    <row r="194" spans="1:7" x14ac:dyDescent="0.25">
      <c r="A194" s="98" t="s">
        <v>83</v>
      </c>
      <c r="B194" s="161" t="s">
        <v>83</v>
      </c>
      <c r="C194" s="4">
        <v>1</v>
      </c>
      <c r="D194" s="78">
        <f>IF('9'!E5="","",'9'!E5)</f>
        <v>46248</v>
      </c>
      <c r="E194" s="76" t="s">
        <v>95</v>
      </c>
      <c r="F194" s="76"/>
      <c r="G194" s="76" t="str">
        <f t="shared" si="2"/>
        <v>Залито</v>
      </c>
    </row>
    <row r="195" spans="1:7" x14ac:dyDescent="0.25">
      <c r="A195" s="98" t="s">
        <v>83</v>
      </c>
      <c r="B195" s="162"/>
      <c r="C195" s="4">
        <v>2</v>
      </c>
      <c r="D195" s="78">
        <f>IF('9'!E6="","",'9'!E6)</f>
        <v>46240</v>
      </c>
      <c r="E195" s="76" t="s">
        <v>95</v>
      </c>
      <c r="F195" s="76"/>
      <c r="G195" s="76" t="str">
        <f t="shared" ref="G195:G258" si="3">IF(OR(D195="", D195=0, ISBLANK(D195)), "Не залито", "Залито")</f>
        <v>Залито</v>
      </c>
    </row>
    <row r="196" spans="1:7" x14ac:dyDescent="0.25">
      <c r="A196" s="98" t="s">
        <v>83</v>
      </c>
      <c r="B196" s="162"/>
      <c r="C196" s="4">
        <v>3</v>
      </c>
      <c r="D196" s="78">
        <f>IF('9'!E7="","",'9'!E7)</f>
        <v>46244</v>
      </c>
      <c r="E196" s="76" t="s">
        <v>95</v>
      </c>
      <c r="F196" s="76"/>
      <c r="G196" s="76" t="str">
        <f t="shared" si="3"/>
        <v>Залито</v>
      </c>
    </row>
    <row r="197" spans="1:7" x14ac:dyDescent="0.25">
      <c r="A197" s="98" t="s">
        <v>83</v>
      </c>
      <c r="B197" s="162"/>
      <c r="C197" s="4">
        <v>4</v>
      </c>
      <c r="D197" s="78">
        <f>IF('9'!E8="","",'9'!E8)</f>
        <v>46241</v>
      </c>
      <c r="E197" s="76" t="s">
        <v>95</v>
      </c>
      <c r="F197" s="76"/>
      <c r="G197" s="76" t="str">
        <f t="shared" si="3"/>
        <v>Залито</v>
      </c>
    </row>
    <row r="198" spans="1:7" x14ac:dyDescent="0.25">
      <c r="A198" s="98" t="s">
        <v>83</v>
      </c>
      <c r="B198" s="162"/>
      <c r="C198" s="4">
        <v>5</v>
      </c>
      <c r="D198" s="78">
        <f>IF('9'!E9="","",'9'!E9)</f>
        <v>46245</v>
      </c>
      <c r="E198" s="76" t="s">
        <v>95</v>
      </c>
      <c r="F198" s="76"/>
      <c r="G198" s="76" t="str">
        <f t="shared" si="3"/>
        <v>Залито</v>
      </c>
    </row>
    <row r="199" spans="1:7" x14ac:dyDescent="0.25">
      <c r="A199" s="98" t="s">
        <v>83</v>
      </c>
      <c r="B199" s="162"/>
      <c r="C199" s="4">
        <v>6</v>
      </c>
      <c r="D199" s="78">
        <f>IF('9'!E10="","",'9'!E10)</f>
        <v>46242</v>
      </c>
      <c r="E199" s="76" t="s">
        <v>95</v>
      </c>
      <c r="F199" s="76"/>
      <c r="G199" s="76" t="str">
        <f t="shared" si="3"/>
        <v>Залито</v>
      </c>
    </row>
    <row r="200" spans="1:7" x14ac:dyDescent="0.25">
      <c r="A200" s="98" t="s">
        <v>83</v>
      </c>
      <c r="B200" s="162"/>
      <c r="C200" s="4">
        <v>7</v>
      </c>
      <c r="D200" s="78">
        <f>IF('9'!E11="","",'9'!E11)</f>
        <v>46246</v>
      </c>
      <c r="E200" s="76" t="s">
        <v>95</v>
      </c>
      <c r="F200" s="76"/>
      <c r="G200" s="76" t="str">
        <f t="shared" si="3"/>
        <v>Залито</v>
      </c>
    </row>
    <row r="201" spans="1:7" x14ac:dyDescent="0.25">
      <c r="A201" s="98" t="s">
        <v>83</v>
      </c>
      <c r="B201" s="162"/>
      <c r="C201" s="4">
        <v>8</v>
      </c>
      <c r="D201" s="78">
        <f>IF('9'!E12="","",'9'!E12)</f>
        <v>46245</v>
      </c>
      <c r="E201" s="76" t="s">
        <v>95</v>
      </c>
      <c r="F201" s="76"/>
      <c r="G201" s="76" t="str">
        <f t="shared" si="3"/>
        <v>Залито</v>
      </c>
    </row>
    <row r="202" spans="1:7" x14ac:dyDescent="0.25">
      <c r="A202" s="98" t="s">
        <v>83</v>
      </c>
      <c r="B202" s="162"/>
      <c r="C202" s="4">
        <v>9</v>
      </c>
      <c r="D202" s="78">
        <f>IF('9'!E13="","",'9'!E13)</f>
        <v>46246</v>
      </c>
      <c r="E202" s="76" t="s">
        <v>95</v>
      </c>
      <c r="F202" s="76"/>
      <c r="G202" s="76" t="str">
        <f t="shared" si="3"/>
        <v>Залито</v>
      </c>
    </row>
    <row r="203" spans="1:7" x14ac:dyDescent="0.25">
      <c r="A203" s="98" t="s">
        <v>83</v>
      </c>
      <c r="B203" s="162"/>
      <c r="C203" s="4">
        <v>10</v>
      </c>
      <c r="D203" s="78">
        <f>IF('9'!E14="","",'9'!E14)</f>
        <v>46249</v>
      </c>
      <c r="E203" s="76" t="s">
        <v>95</v>
      </c>
      <c r="F203" s="76"/>
      <c r="G203" s="76" t="str">
        <f t="shared" si="3"/>
        <v>Залито</v>
      </c>
    </row>
    <row r="204" spans="1:7" x14ac:dyDescent="0.25">
      <c r="A204" s="98" t="s">
        <v>83</v>
      </c>
      <c r="B204" s="162"/>
      <c r="C204" s="4">
        <v>11</v>
      </c>
      <c r="D204" s="78">
        <f>IF('9'!E15="","",'9'!E15)</f>
        <v>46243</v>
      </c>
      <c r="E204" s="76" t="s">
        <v>95</v>
      </c>
      <c r="F204" s="76"/>
      <c r="G204" s="76" t="str">
        <f t="shared" si="3"/>
        <v>Залито</v>
      </c>
    </row>
    <row r="205" spans="1:7" x14ac:dyDescent="0.25">
      <c r="A205" s="98" t="s">
        <v>83</v>
      </c>
      <c r="B205" s="162"/>
      <c r="C205" s="4">
        <v>12</v>
      </c>
      <c r="D205" s="78">
        <f>IF('9'!E16="","",'9'!E16)</f>
        <v>46248</v>
      </c>
      <c r="E205" s="76" t="s">
        <v>95</v>
      </c>
      <c r="F205" s="76"/>
      <c r="G205" s="76" t="str">
        <f t="shared" si="3"/>
        <v>Залито</v>
      </c>
    </row>
    <row r="206" spans="1:7" x14ac:dyDescent="0.25">
      <c r="A206" s="98" t="s">
        <v>83</v>
      </c>
      <c r="B206" s="162"/>
      <c r="C206" s="4">
        <v>13</v>
      </c>
      <c r="D206" s="78">
        <f>IF('9'!E17="","",'9'!E17)</f>
        <v>46239</v>
      </c>
      <c r="E206" s="76" t="s">
        <v>95</v>
      </c>
      <c r="F206" s="76"/>
      <c r="G206" s="76" t="str">
        <f t="shared" si="3"/>
        <v>Залито</v>
      </c>
    </row>
    <row r="207" spans="1:7" x14ac:dyDescent="0.25">
      <c r="A207" s="98" t="s">
        <v>83</v>
      </c>
      <c r="B207" s="162"/>
      <c r="C207" s="4">
        <v>14</v>
      </c>
      <c r="D207" s="78">
        <f>IF('9'!E18="","",'9'!E18)</f>
        <v>46247</v>
      </c>
      <c r="E207" s="76" t="s">
        <v>95</v>
      </c>
      <c r="F207" s="76"/>
      <c r="G207" s="76" t="str">
        <f t="shared" si="3"/>
        <v>Залито</v>
      </c>
    </row>
    <row r="208" spans="1:7" x14ac:dyDescent="0.25">
      <c r="A208" s="98" t="s">
        <v>83</v>
      </c>
      <c r="B208" s="162"/>
      <c r="C208" s="4">
        <v>15</v>
      </c>
      <c r="D208" s="78">
        <f>IF('9'!E19="","",'9'!E19)</f>
        <v>46241</v>
      </c>
      <c r="E208" s="76" t="s">
        <v>95</v>
      </c>
      <c r="F208" s="76"/>
      <c r="G208" s="76" t="str">
        <f t="shared" si="3"/>
        <v>Залито</v>
      </c>
    </row>
    <row r="209" spans="1:7" x14ac:dyDescent="0.25">
      <c r="A209" s="98" t="s">
        <v>83</v>
      </c>
      <c r="B209" s="162"/>
      <c r="C209" s="4">
        <v>16</v>
      </c>
      <c r="D209" s="78">
        <f>IF('9'!E20="","",'9'!E20)</f>
        <v>46244</v>
      </c>
      <c r="E209" s="76" t="s">
        <v>95</v>
      </c>
      <c r="F209" s="76"/>
      <c r="G209" s="76" t="str">
        <f t="shared" si="3"/>
        <v>Залито</v>
      </c>
    </row>
    <row r="210" spans="1:7" x14ac:dyDescent="0.25">
      <c r="A210" s="98" t="s">
        <v>83</v>
      </c>
      <c r="B210" s="162"/>
      <c r="C210" s="4">
        <v>17</v>
      </c>
      <c r="D210" s="78">
        <f>IF('9'!E21="","",'9'!E21)</f>
        <v>46242</v>
      </c>
      <c r="E210" s="76" t="s">
        <v>95</v>
      </c>
      <c r="F210" s="76"/>
      <c r="G210" s="76" t="str">
        <f t="shared" si="3"/>
        <v>Залито</v>
      </c>
    </row>
    <row r="211" spans="1:7" x14ac:dyDescent="0.25">
      <c r="A211" s="98" t="s">
        <v>83</v>
      </c>
      <c r="B211" s="162"/>
      <c r="C211" s="4">
        <v>18</v>
      </c>
      <c r="D211" s="78">
        <f>IF('9'!E22="","",'9'!E22)</f>
        <v>46245</v>
      </c>
      <c r="E211" s="76" t="s">
        <v>95</v>
      </c>
      <c r="F211" s="76"/>
      <c r="G211" s="76" t="str">
        <f t="shared" si="3"/>
        <v>Залито</v>
      </c>
    </row>
    <row r="212" spans="1:7" x14ac:dyDescent="0.25">
      <c r="A212" s="98" t="s">
        <v>83</v>
      </c>
      <c r="B212" s="162"/>
      <c r="C212" s="4">
        <v>19</v>
      </c>
      <c r="D212" s="78">
        <f>IF('9'!E23="","",'9'!E23)</f>
        <v>46243</v>
      </c>
      <c r="E212" s="76" t="s">
        <v>95</v>
      </c>
      <c r="F212" s="76"/>
      <c r="G212" s="76" t="str">
        <f t="shared" si="3"/>
        <v>Залито</v>
      </c>
    </row>
    <row r="213" spans="1:7" x14ac:dyDescent="0.25">
      <c r="A213" s="98" t="s">
        <v>83</v>
      </c>
      <c r="B213" s="162"/>
      <c r="C213" s="4">
        <v>20</v>
      </c>
      <c r="D213" s="78">
        <f>IF('9'!E24="","",'9'!E24)</f>
        <v>46246</v>
      </c>
      <c r="E213" s="76" t="s">
        <v>95</v>
      </c>
      <c r="F213" s="76"/>
      <c r="G213" s="76" t="str">
        <f t="shared" si="3"/>
        <v>Залито</v>
      </c>
    </row>
    <row r="214" spans="1:7" x14ac:dyDescent="0.25">
      <c r="A214" s="98" t="s">
        <v>83</v>
      </c>
      <c r="B214" s="162"/>
      <c r="C214" s="4">
        <v>21</v>
      </c>
      <c r="D214" s="78">
        <f>IF('9'!E25="","",'9'!E25)</f>
        <v>46247</v>
      </c>
      <c r="E214" s="76" t="s">
        <v>95</v>
      </c>
      <c r="F214" s="76"/>
      <c r="G214" s="76" t="str">
        <f t="shared" si="3"/>
        <v>Залито</v>
      </c>
    </row>
    <row r="215" spans="1:7" x14ac:dyDescent="0.25">
      <c r="A215" s="98" t="s">
        <v>83</v>
      </c>
      <c r="B215" s="162"/>
      <c r="C215" s="4">
        <v>22</v>
      </c>
      <c r="D215" s="78">
        <f>IF('9'!E26="","",'9'!E26)</f>
        <v>46250</v>
      </c>
      <c r="E215" s="76" t="s">
        <v>95</v>
      </c>
      <c r="F215" s="76"/>
      <c r="G215" s="76" t="str">
        <f t="shared" si="3"/>
        <v>Залито</v>
      </c>
    </row>
    <row r="216" spans="1:7" x14ac:dyDescent="0.25">
      <c r="A216" s="98" t="s">
        <v>83</v>
      </c>
      <c r="B216" s="162"/>
      <c r="C216" s="4">
        <v>23</v>
      </c>
      <c r="D216" s="78">
        <f>IF('9'!E27="","",'9'!E27)</f>
        <v>46249</v>
      </c>
      <c r="E216" s="76" t="s">
        <v>95</v>
      </c>
      <c r="F216" s="76"/>
      <c r="G216" s="76" t="str">
        <f t="shared" si="3"/>
        <v>Залито</v>
      </c>
    </row>
    <row r="217" spans="1:7" x14ac:dyDescent="0.25">
      <c r="A217" s="98" t="s">
        <v>83</v>
      </c>
      <c r="B217" s="163"/>
      <c r="C217" s="4">
        <v>24</v>
      </c>
      <c r="D217" s="78">
        <f>IF('9'!E28="","",'9'!E28)</f>
        <v>46250</v>
      </c>
      <c r="E217" s="76" t="s">
        <v>95</v>
      </c>
      <c r="F217" s="76"/>
      <c r="G217" s="76" t="str">
        <f t="shared" si="3"/>
        <v>Залито</v>
      </c>
    </row>
    <row r="218" spans="1:7" hidden="1" x14ac:dyDescent="0.25">
      <c r="A218" s="99" t="s">
        <v>7</v>
      </c>
      <c r="B218" s="161" t="s">
        <v>7</v>
      </c>
      <c r="C218" s="4">
        <v>1</v>
      </c>
      <c r="D218" s="78" t="str">
        <f>IF('10'!E5="","",'10'!E5)</f>
        <v/>
      </c>
      <c r="E218" s="76" t="s">
        <v>95</v>
      </c>
      <c r="F218" s="76"/>
      <c r="G218" s="76" t="str">
        <f t="shared" si="3"/>
        <v>Не залито</v>
      </c>
    </row>
    <row r="219" spans="1:7" x14ac:dyDescent="0.25">
      <c r="A219" s="99" t="s">
        <v>7</v>
      </c>
      <c r="B219" s="162"/>
      <c r="C219" s="4">
        <v>2</v>
      </c>
      <c r="D219" s="78">
        <f>IF('10'!E6="","",'10'!E6)</f>
        <v>46252</v>
      </c>
      <c r="E219" s="76" t="s">
        <v>95</v>
      </c>
      <c r="F219" s="76"/>
      <c r="G219" s="76" t="str">
        <f t="shared" si="3"/>
        <v>Залито</v>
      </c>
    </row>
    <row r="220" spans="1:7" x14ac:dyDescent="0.25">
      <c r="A220" s="99" t="s">
        <v>7</v>
      </c>
      <c r="B220" s="162"/>
      <c r="C220" s="4">
        <v>3</v>
      </c>
      <c r="D220" s="78">
        <f>IF('10'!E7="","",'10'!E7)</f>
        <v>46250</v>
      </c>
      <c r="E220" s="76" t="s">
        <v>95</v>
      </c>
      <c r="F220" s="76"/>
      <c r="G220" s="76" t="str">
        <f t="shared" si="3"/>
        <v>Залито</v>
      </c>
    </row>
    <row r="221" spans="1:7" hidden="1" x14ac:dyDescent="0.25">
      <c r="A221" s="99" t="s">
        <v>7</v>
      </c>
      <c r="B221" s="162"/>
      <c r="C221" s="4">
        <v>4</v>
      </c>
      <c r="D221" s="78" t="str">
        <f>IF('10'!E8="","",'10'!E8)</f>
        <v/>
      </c>
      <c r="E221" s="76" t="s">
        <v>95</v>
      </c>
      <c r="F221" s="76"/>
      <c r="G221" s="76" t="str">
        <f t="shared" si="3"/>
        <v>Не залито</v>
      </c>
    </row>
    <row r="222" spans="1:7" x14ac:dyDescent="0.25">
      <c r="A222" s="99" t="s">
        <v>7</v>
      </c>
      <c r="B222" s="162"/>
      <c r="C222" s="4">
        <v>5</v>
      </c>
      <c r="D222" s="78">
        <f>IF('10'!E9="","",'10'!E9)</f>
        <v>46250</v>
      </c>
      <c r="E222" s="76" t="s">
        <v>95</v>
      </c>
      <c r="F222" s="76"/>
      <c r="G222" s="76" t="str">
        <f t="shared" si="3"/>
        <v>Залито</v>
      </c>
    </row>
    <row r="223" spans="1:7" hidden="1" x14ac:dyDescent="0.25">
      <c r="A223" s="99" t="s">
        <v>7</v>
      </c>
      <c r="B223" s="162"/>
      <c r="C223" s="4">
        <v>6</v>
      </c>
      <c r="D223" s="78">
        <f>IF('10'!E10="","",'10'!E10)</f>
        <v>46253</v>
      </c>
      <c r="E223" s="76" t="s">
        <v>95</v>
      </c>
      <c r="F223" s="76"/>
      <c r="G223" s="76" t="str">
        <f t="shared" si="3"/>
        <v>Залито</v>
      </c>
    </row>
    <row r="224" spans="1:7" x14ac:dyDescent="0.25">
      <c r="A224" s="99" t="s">
        <v>7</v>
      </c>
      <c r="B224" s="162"/>
      <c r="C224" s="4">
        <v>7</v>
      </c>
      <c r="D224" s="78">
        <f>IF('10'!E11="","",'10'!E11)</f>
        <v>46251</v>
      </c>
      <c r="E224" s="76" t="s">
        <v>95</v>
      </c>
      <c r="F224" s="76"/>
      <c r="G224" s="76" t="str">
        <f t="shared" si="3"/>
        <v>Залито</v>
      </c>
    </row>
    <row r="225" spans="1:7" x14ac:dyDescent="0.25">
      <c r="A225" s="99" t="s">
        <v>7</v>
      </c>
      <c r="B225" s="162"/>
      <c r="C225" s="4">
        <v>8</v>
      </c>
      <c r="D225" s="78">
        <f>IF('10'!E12="","",'10'!E12)</f>
        <v>46252</v>
      </c>
      <c r="E225" s="76" t="s">
        <v>95</v>
      </c>
      <c r="F225" s="76"/>
      <c r="G225" s="76" t="str">
        <f t="shared" si="3"/>
        <v>Залито</v>
      </c>
    </row>
    <row r="226" spans="1:7" x14ac:dyDescent="0.25">
      <c r="A226" s="99" t="s">
        <v>7</v>
      </c>
      <c r="B226" s="162"/>
      <c r="C226" s="4">
        <v>9</v>
      </c>
      <c r="D226" s="78">
        <f>IF('10'!E13="","",'10'!E13)</f>
        <v>46249</v>
      </c>
      <c r="E226" s="76" t="s">
        <v>95</v>
      </c>
      <c r="F226" s="76"/>
      <c r="G226" s="76" t="str">
        <f t="shared" si="3"/>
        <v>Залито</v>
      </c>
    </row>
    <row r="227" spans="1:7" hidden="1" x14ac:dyDescent="0.25">
      <c r="A227" s="99" t="s">
        <v>7</v>
      </c>
      <c r="B227" s="162"/>
      <c r="C227" s="4">
        <v>10</v>
      </c>
      <c r="D227" s="78" t="str">
        <f>IF('10'!E14="","",'10'!E14)</f>
        <v/>
      </c>
      <c r="E227" s="76" t="s">
        <v>95</v>
      </c>
      <c r="F227" s="76"/>
      <c r="G227" s="76" t="str">
        <f t="shared" si="3"/>
        <v>Не залито</v>
      </c>
    </row>
    <row r="228" spans="1:7" hidden="1" x14ac:dyDescent="0.25">
      <c r="A228" s="99" t="s">
        <v>7</v>
      </c>
      <c r="B228" s="162"/>
      <c r="C228" s="4">
        <v>11</v>
      </c>
      <c r="D228" s="78" t="str">
        <f>IF('10'!E15="","",'10'!E15)</f>
        <v/>
      </c>
      <c r="E228" s="76" t="s">
        <v>95</v>
      </c>
      <c r="F228" s="76"/>
      <c r="G228" s="76" t="str">
        <f t="shared" si="3"/>
        <v>Не залито</v>
      </c>
    </row>
    <row r="229" spans="1:7" x14ac:dyDescent="0.25">
      <c r="A229" s="99" t="s">
        <v>7</v>
      </c>
      <c r="B229" s="162"/>
      <c r="C229" s="4">
        <v>12</v>
      </c>
      <c r="D229" s="78">
        <f>IF('10'!E16="","",'10'!E16)</f>
        <v>46251</v>
      </c>
      <c r="E229" s="76" t="s">
        <v>95</v>
      </c>
      <c r="F229" s="76"/>
      <c r="G229" s="76" t="str">
        <f t="shared" si="3"/>
        <v>Залито</v>
      </c>
    </row>
    <row r="230" spans="1:7" hidden="1" x14ac:dyDescent="0.25">
      <c r="A230" s="99" t="s">
        <v>7</v>
      </c>
      <c r="B230" s="162"/>
      <c r="C230" s="4">
        <v>13</v>
      </c>
      <c r="D230" s="78" t="str">
        <f>IF('10'!E17="","",'10'!E17)</f>
        <v/>
      </c>
      <c r="E230" s="76" t="s">
        <v>95</v>
      </c>
      <c r="F230" s="76"/>
      <c r="G230" s="76" t="str">
        <f t="shared" si="3"/>
        <v>Не залито</v>
      </c>
    </row>
    <row r="231" spans="1:7" hidden="1" x14ac:dyDescent="0.25">
      <c r="A231" s="99" t="s">
        <v>7</v>
      </c>
      <c r="B231" s="162"/>
      <c r="C231" s="4">
        <v>14</v>
      </c>
      <c r="D231" s="78" t="str">
        <f>IF('10'!E18="","",'10'!E18)</f>
        <v/>
      </c>
      <c r="E231" s="76" t="s">
        <v>95</v>
      </c>
      <c r="F231" s="76"/>
      <c r="G231" s="76" t="str">
        <f t="shared" si="3"/>
        <v>Не залито</v>
      </c>
    </row>
    <row r="232" spans="1:7" hidden="1" x14ac:dyDescent="0.25">
      <c r="A232" s="99" t="s">
        <v>7</v>
      </c>
      <c r="B232" s="162"/>
      <c r="C232" s="4">
        <v>15</v>
      </c>
      <c r="D232" s="78" t="str">
        <f>IF('10'!E19="","",'10'!E19)</f>
        <v/>
      </c>
      <c r="E232" s="76" t="s">
        <v>95</v>
      </c>
      <c r="F232" s="76"/>
      <c r="G232" s="76" t="str">
        <f t="shared" si="3"/>
        <v>Не залито</v>
      </c>
    </row>
    <row r="233" spans="1:7" hidden="1" x14ac:dyDescent="0.25">
      <c r="A233" s="99" t="s">
        <v>7</v>
      </c>
      <c r="B233" s="162"/>
      <c r="C233" s="4">
        <v>16</v>
      </c>
      <c r="D233" s="78" t="str">
        <f>IF('10'!E20="","",'10'!E20)</f>
        <v/>
      </c>
      <c r="E233" s="76" t="s">
        <v>95</v>
      </c>
      <c r="F233" s="76"/>
      <c r="G233" s="76" t="str">
        <f t="shared" si="3"/>
        <v>Не залито</v>
      </c>
    </row>
    <row r="234" spans="1:7" hidden="1" x14ac:dyDescent="0.25">
      <c r="A234" s="99" t="s">
        <v>7</v>
      </c>
      <c r="B234" s="162"/>
      <c r="C234" s="4">
        <v>17</v>
      </c>
      <c r="D234" s="78" t="str">
        <f>IF('10'!E21="","",'10'!E21)</f>
        <v/>
      </c>
      <c r="E234" s="76" t="s">
        <v>95</v>
      </c>
      <c r="F234" s="76"/>
      <c r="G234" s="76" t="str">
        <f t="shared" si="3"/>
        <v>Не залито</v>
      </c>
    </row>
    <row r="235" spans="1:7" hidden="1" x14ac:dyDescent="0.25">
      <c r="A235" s="99" t="s">
        <v>7</v>
      </c>
      <c r="B235" s="162"/>
      <c r="C235" s="4">
        <v>18</v>
      </c>
      <c r="D235" s="78" t="str">
        <f>IF('10'!E22="","",'10'!E22)</f>
        <v/>
      </c>
      <c r="E235" s="76" t="s">
        <v>95</v>
      </c>
      <c r="F235" s="76"/>
      <c r="G235" s="76" t="str">
        <f t="shared" si="3"/>
        <v>Не залито</v>
      </c>
    </row>
    <row r="236" spans="1:7" hidden="1" x14ac:dyDescent="0.25">
      <c r="A236" s="99" t="s">
        <v>7</v>
      </c>
      <c r="B236" s="162"/>
      <c r="C236" s="4">
        <v>19</v>
      </c>
      <c r="D236" s="78" t="str">
        <f>IF('10'!E23="","",'10'!E23)</f>
        <v/>
      </c>
      <c r="E236" s="76" t="s">
        <v>95</v>
      </c>
      <c r="F236" s="76"/>
      <c r="G236" s="76" t="str">
        <f t="shared" si="3"/>
        <v>Не залито</v>
      </c>
    </row>
    <row r="237" spans="1:7" hidden="1" x14ac:dyDescent="0.25">
      <c r="A237" s="99" t="s">
        <v>7</v>
      </c>
      <c r="B237" s="162"/>
      <c r="C237" s="4">
        <v>20</v>
      </c>
      <c r="D237" s="78" t="str">
        <f>IF('10'!E24="","",'10'!E24)</f>
        <v/>
      </c>
      <c r="E237" s="76" t="s">
        <v>95</v>
      </c>
      <c r="F237" s="76"/>
      <c r="G237" s="76" t="str">
        <f t="shared" si="3"/>
        <v>Не залито</v>
      </c>
    </row>
    <row r="238" spans="1:7" hidden="1" x14ac:dyDescent="0.25">
      <c r="A238" s="99" t="s">
        <v>7</v>
      </c>
      <c r="B238" s="162"/>
      <c r="C238" s="4">
        <v>21</v>
      </c>
      <c r="D238" s="78" t="str">
        <f>IF('10'!E25="","",'10'!E25)</f>
        <v/>
      </c>
      <c r="E238" s="76" t="s">
        <v>95</v>
      </c>
      <c r="F238" s="76"/>
      <c r="G238" s="76" t="str">
        <f t="shared" si="3"/>
        <v>Не залито</v>
      </c>
    </row>
    <row r="239" spans="1:7" hidden="1" x14ac:dyDescent="0.25">
      <c r="A239" s="99" t="s">
        <v>7</v>
      </c>
      <c r="B239" s="162"/>
      <c r="C239" s="4">
        <v>22</v>
      </c>
      <c r="D239" s="78" t="str">
        <f>IF('10'!E26="","",'10'!E26)</f>
        <v/>
      </c>
      <c r="E239" s="76" t="s">
        <v>95</v>
      </c>
      <c r="F239" s="76"/>
      <c r="G239" s="76" t="str">
        <f t="shared" si="3"/>
        <v>Не залито</v>
      </c>
    </row>
    <row r="240" spans="1:7" hidden="1" x14ac:dyDescent="0.25">
      <c r="A240" s="99" t="s">
        <v>7</v>
      </c>
      <c r="B240" s="162"/>
      <c r="C240" s="4">
        <v>23</v>
      </c>
      <c r="D240" s="78" t="str">
        <f>IF('10'!E27="","",'10'!E27)</f>
        <v/>
      </c>
      <c r="E240" s="76" t="s">
        <v>95</v>
      </c>
      <c r="F240" s="76"/>
      <c r="G240" s="76" t="str">
        <f t="shared" si="3"/>
        <v>Не залито</v>
      </c>
    </row>
    <row r="241" spans="1:7" hidden="1" x14ac:dyDescent="0.25">
      <c r="A241" s="99" t="s">
        <v>7</v>
      </c>
      <c r="B241" s="163"/>
      <c r="C241" s="4">
        <v>24</v>
      </c>
      <c r="D241" s="78" t="str">
        <f>IF('10'!E28="","",'10'!E28)</f>
        <v/>
      </c>
      <c r="E241" s="76" t="s">
        <v>95</v>
      </c>
      <c r="F241" s="76"/>
      <c r="G241" s="76" t="str">
        <f t="shared" si="3"/>
        <v>Не залито</v>
      </c>
    </row>
    <row r="242" spans="1:7" x14ac:dyDescent="0.25">
      <c r="A242" s="100" t="s">
        <v>82</v>
      </c>
      <c r="B242" s="161" t="s">
        <v>82</v>
      </c>
      <c r="C242" s="4">
        <v>1</v>
      </c>
      <c r="D242" s="78">
        <f>IF('11'!E5="","",'11'!E5)</f>
        <v>46241</v>
      </c>
      <c r="E242" s="76" t="s">
        <v>95</v>
      </c>
      <c r="F242" s="76"/>
      <c r="G242" s="76" t="str">
        <f t="shared" si="3"/>
        <v>Залито</v>
      </c>
    </row>
    <row r="243" spans="1:7" x14ac:dyDescent="0.25">
      <c r="A243" s="100" t="s">
        <v>82</v>
      </c>
      <c r="B243" s="162"/>
      <c r="C243" s="4">
        <v>2</v>
      </c>
      <c r="D243" s="78">
        <f>IF('11'!E6="","",'11'!E6)</f>
        <v>46242</v>
      </c>
      <c r="E243" s="76" t="s">
        <v>95</v>
      </c>
      <c r="F243" s="76"/>
      <c r="G243" s="76" t="str">
        <f t="shared" si="3"/>
        <v>Залито</v>
      </c>
    </row>
    <row r="244" spans="1:7" x14ac:dyDescent="0.25">
      <c r="A244" s="100" t="s">
        <v>82</v>
      </c>
      <c r="B244" s="162"/>
      <c r="C244" s="4">
        <v>3</v>
      </c>
      <c r="D244" s="78">
        <f>IF('11'!E7="","",'11'!E7)</f>
        <v>46238</v>
      </c>
      <c r="E244" s="76" t="s">
        <v>95</v>
      </c>
      <c r="F244" s="76"/>
      <c r="G244" s="76" t="str">
        <f t="shared" si="3"/>
        <v>Залито</v>
      </c>
    </row>
    <row r="245" spans="1:7" x14ac:dyDescent="0.25">
      <c r="A245" s="100" t="s">
        <v>82</v>
      </c>
      <c r="B245" s="162"/>
      <c r="C245" s="4">
        <v>4</v>
      </c>
      <c r="D245" s="78">
        <f>IF('11'!E8="","",'11'!E8)</f>
        <v>46241</v>
      </c>
      <c r="E245" s="76" t="s">
        <v>95</v>
      </c>
      <c r="F245" s="76"/>
      <c r="G245" s="76" t="str">
        <f t="shared" si="3"/>
        <v>Залито</v>
      </c>
    </row>
    <row r="246" spans="1:7" x14ac:dyDescent="0.25">
      <c r="A246" s="100" t="s">
        <v>82</v>
      </c>
      <c r="B246" s="162"/>
      <c r="C246" s="4">
        <v>5</v>
      </c>
      <c r="D246" s="78">
        <f>IF('11'!E9="","",'11'!E9)</f>
        <v>46238</v>
      </c>
      <c r="E246" s="76" t="s">
        <v>95</v>
      </c>
      <c r="F246" s="76"/>
      <c r="G246" s="76" t="str">
        <f t="shared" si="3"/>
        <v>Залито</v>
      </c>
    </row>
    <row r="247" spans="1:7" x14ac:dyDescent="0.25">
      <c r="A247" s="100" t="s">
        <v>82</v>
      </c>
      <c r="B247" s="162"/>
      <c r="C247" s="4">
        <v>6</v>
      </c>
      <c r="D247" s="78">
        <f>IF('11'!E10="","",'11'!E10)</f>
        <v>46241</v>
      </c>
      <c r="E247" s="76" t="s">
        <v>95</v>
      </c>
      <c r="F247" s="76"/>
      <c r="G247" s="76" t="str">
        <f t="shared" si="3"/>
        <v>Залито</v>
      </c>
    </row>
    <row r="248" spans="1:7" x14ac:dyDescent="0.25">
      <c r="A248" s="100" t="s">
        <v>82</v>
      </c>
      <c r="B248" s="162"/>
      <c r="C248" s="4">
        <v>7</v>
      </c>
      <c r="D248" s="78">
        <f>IF('11'!E11="","",'11'!E11)</f>
        <v>46238</v>
      </c>
      <c r="E248" s="76" t="s">
        <v>95</v>
      </c>
      <c r="F248" s="76"/>
      <c r="G248" s="76" t="str">
        <f t="shared" si="3"/>
        <v>Залито</v>
      </c>
    </row>
    <row r="249" spans="1:7" x14ac:dyDescent="0.25">
      <c r="A249" s="100" t="s">
        <v>82</v>
      </c>
      <c r="B249" s="162"/>
      <c r="C249" s="4">
        <v>8</v>
      </c>
      <c r="D249" s="78">
        <f>IF('11'!E12="","",'11'!E12)</f>
        <v>46239</v>
      </c>
      <c r="E249" s="76" t="s">
        <v>95</v>
      </c>
      <c r="F249" s="76"/>
      <c r="G249" s="76" t="str">
        <f t="shared" si="3"/>
        <v>Залито</v>
      </c>
    </row>
    <row r="250" spans="1:7" x14ac:dyDescent="0.25">
      <c r="A250" s="100" t="s">
        <v>82</v>
      </c>
      <c r="B250" s="162"/>
      <c r="C250" s="4">
        <v>9</v>
      </c>
      <c r="D250" s="78">
        <f>IF('11'!E13="","",'11'!E13)</f>
        <v>46237</v>
      </c>
      <c r="E250" s="76" t="s">
        <v>95</v>
      </c>
      <c r="F250" s="76"/>
      <c r="G250" s="76" t="str">
        <f t="shared" si="3"/>
        <v>Залито</v>
      </c>
    </row>
    <row r="251" spans="1:7" x14ac:dyDescent="0.25">
      <c r="A251" s="100" t="s">
        <v>82</v>
      </c>
      <c r="B251" s="162"/>
      <c r="C251" s="4">
        <v>10</v>
      </c>
      <c r="D251" s="78">
        <f>IF('11'!E14="","",'11'!E14)</f>
        <v>46239</v>
      </c>
      <c r="E251" s="76" t="s">
        <v>95</v>
      </c>
      <c r="F251" s="76"/>
      <c r="G251" s="76" t="str">
        <f t="shared" si="3"/>
        <v>Залито</v>
      </c>
    </row>
    <row r="252" spans="1:7" x14ac:dyDescent="0.25">
      <c r="A252" s="100" t="s">
        <v>82</v>
      </c>
      <c r="B252" s="162"/>
      <c r="C252" s="4">
        <v>11</v>
      </c>
      <c r="D252" s="78">
        <f>IF('11'!E15="","",'11'!E15)</f>
        <v>46238</v>
      </c>
      <c r="E252" s="76" t="s">
        <v>95</v>
      </c>
      <c r="F252" s="76"/>
      <c r="G252" s="76" t="str">
        <f t="shared" si="3"/>
        <v>Залито</v>
      </c>
    </row>
    <row r="253" spans="1:7" x14ac:dyDescent="0.25">
      <c r="A253" s="100" t="s">
        <v>82</v>
      </c>
      <c r="B253" s="162"/>
      <c r="C253" s="4">
        <v>12</v>
      </c>
      <c r="D253" s="78">
        <f>IF('11'!E16="","",'11'!E16)</f>
        <v>46239</v>
      </c>
      <c r="E253" s="76" t="s">
        <v>95</v>
      </c>
      <c r="F253" s="76"/>
      <c r="G253" s="76" t="str">
        <f t="shared" si="3"/>
        <v>Залито</v>
      </c>
    </row>
    <row r="254" spans="1:7" x14ac:dyDescent="0.25">
      <c r="A254" s="100" t="s">
        <v>82</v>
      </c>
      <c r="B254" s="162"/>
      <c r="C254" s="4">
        <v>13</v>
      </c>
      <c r="D254" s="78">
        <f>IF('11'!E17="","",'11'!E17)</f>
        <v>46239</v>
      </c>
      <c r="E254" s="76" t="s">
        <v>95</v>
      </c>
      <c r="F254" s="76"/>
      <c r="G254" s="76" t="str">
        <f t="shared" si="3"/>
        <v>Залито</v>
      </c>
    </row>
    <row r="255" spans="1:7" x14ac:dyDescent="0.25">
      <c r="A255" s="100" t="s">
        <v>82</v>
      </c>
      <c r="B255" s="162"/>
      <c r="C255" s="4">
        <v>14</v>
      </c>
      <c r="D255" s="78">
        <f>IF('11'!E18="","",'11'!E18)</f>
        <v>46240</v>
      </c>
      <c r="E255" s="76" t="s">
        <v>95</v>
      </c>
      <c r="F255" s="76"/>
      <c r="G255" s="76" t="str">
        <f t="shared" si="3"/>
        <v>Залито</v>
      </c>
    </row>
    <row r="256" spans="1:7" x14ac:dyDescent="0.25">
      <c r="A256" s="100" t="s">
        <v>82</v>
      </c>
      <c r="B256" s="162"/>
      <c r="C256" s="4">
        <v>15</v>
      </c>
      <c r="D256" s="78">
        <f>IF('11'!E19="","",'11'!E19)</f>
        <v>46242</v>
      </c>
      <c r="E256" s="76" t="s">
        <v>95</v>
      </c>
      <c r="F256" s="76"/>
      <c r="G256" s="76" t="str">
        <f t="shared" si="3"/>
        <v>Залито</v>
      </c>
    </row>
    <row r="257" spans="1:7" x14ac:dyDescent="0.25">
      <c r="A257" s="100" t="s">
        <v>82</v>
      </c>
      <c r="B257" s="162"/>
      <c r="C257" s="4">
        <v>16</v>
      </c>
      <c r="D257" s="78">
        <f>IF('11'!E20="","",'11'!E20)</f>
        <v>46241</v>
      </c>
      <c r="E257" s="76" t="s">
        <v>95</v>
      </c>
      <c r="F257" s="76"/>
      <c r="G257" s="76" t="str">
        <f t="shared" si="3"/>
        <v>Залито</v>
      </c>
    </row>
    <row r="258" spans="1:7" x14ac:dyDescent="0.25">
      <c r="A258" s="100" t="s">
        <v>82</v>
      </c>
      <c r="B258" s="162"/>
      <c r="C258" s="4">
        <v>17</v>
      </c>
      <c r="D258" s="78">
        <f>IF('11'!E21="","",'11'!E21)</f>
        <v>46243</v>
      </c>
      <c r="E258" s="76" t="s">
        <v>95</v>
      </c>
      <c r="F258" s="76"/>
      <c r="G258" s="76" t="str">
        <f t="shared" si="3"/>
        <v>Залито</v>
      </c>
    </row>
    <row r="259" spans="1:7" x14ac:dyDescent="0.25">
      <c r="A259" s="100" t="s">
        <v>82</v>
      </c>
      <c r="B259" s="162"/>
      <c r="C259" s="4">
        <v>18</v>
      </c>
      <c r="D259" s="78">
        <f>IF('11'!E22="","",'11'!E22)</f>
        <v>46242</v>
      </c>
      <c r="E259" s="76" t="s">
        <v>95</v>
      </c>
      <c r="F259" s="76"/>
      <c r="G259" s="76" t="str">
        <f t="shared" ref="G259:G322" si="4">IF(OR(D259="", D259=0, ISBLANK(D259)), "Не залито", "Залито")</f>
        <v>Залито</v>
      </c>
    </row>
    <row r="260" spans="1:7" x14ac:dyDescent="0.25">
      <c r="A260" s="100" t="s">
        <v>82</v>
      </c>
      <c r="B260" s="162"/>
      <c r="C260" s="4">
        <v>19</v>
      </c>
      <c r="D260" s="78">
        <f>IF('11'!E23="","",'11'!E23)</f>
        <v>46243</v>
      </c>
      <c r="E260" s="76" t="s">
        <v>95</v>
      </c>
      <c r="F260" s="76"/>
      <c r="G260" s="76" t="str">
        <f t="shared" si="4"/>
        <v>Залито</v>
      </c>
    </row>
    <row r="261" spans="1:7" x14ac:dyDescent="0.25">
      <c r="A261" s="100" t="s">
        <v>82</v>
      </c>
      <c r="B261" s="162"/>
      <c r="C261" s="4">
        <v>20</v>
      </c>
      <c r="D261" s="78">
        <f>IF('11'!E24="","",'11'!E24)</f>
        <v>46245</v>
      </c>
      <c r="E261" s="76" t="s">
        <v>95</v>
      </c>
      <c r="F261" s="76"/>
      <c r="G261" s="76" t="str">
        <f t="shared" si="4"/>
        <v>Залито</v>
      </c>
    </row>
    <row r="262" spans="1:7" x14ac:dyDescent="0.25">
      <c r="A262" s="100" t="s">
        <v>82</v>
      </c>
      <c r="B262" s="162"/>
      <c r="C262" s="4">
        <v>21</v>
      </c>
      <c r="D262" s="78">
        <f>IF('11'!E25="","",'11'!E25)</f>
        <v>46244</v>
      </c>
      <c r="E262" s="76" t="s">
        <v>95</v>
      </c>
      <c r="F262" s="76"/>
      <c r="G262" s="76" t="str">
        <f t="shared" si="4"/>
        <v>Залито</v>
      </c>
    </row>
    <row r="263" spans="1:7" x14ac:dyDescent="0.25">
      <c r="A263" s="100" t="s">
        <v>82</v>
      </c>
      <c r="B263" s="162"/>
      <c r="C263" s="4">
        <v>22</v>
      </c>
      <c r="D263" s="78">
        <f>IF('11'!E26="","",'11'!E26)</f>
        <v>46243</v>
      </c>
      <c r="E263" s="76" t="s">
        <v>95</v>
      </c>
      <c r="F263" s="76"/>
      <c r="G263" s="76" t="str">
        <f t="shared" si="4"/>
        <v>Залито</v>
      </c>
    </row>
    <row r="264" spans="1:7" x14ac:dyDescent="0.25">
      <c r="A264" s="100" t="s">
        <v>82</v>
      </c>
      <c r="B264" s="162"/>
      <c r="C264" s="4">
        <v>23</v>
      </c>
      <c r="D264" s="78">
        <f>IF('11'!E27="","",'11'!E27)</f>
        <v>46242</v>
      </c>
      <c r="E264" s="76" t="s">
        <v>95</v>
      </c>
      <c r="F264" s="76"/>
      <c r="G264" s="76" t="str">
        <f t="shared" si="4"/>
        <v>Залито</v>
      </c>
    </row>
    <row r="265" spans="1:7" x14ac:dyDescent="0.25">
      <c r="A265" s="100" t="s">
        <v>82</v>
      </c>
      <c r="B265" s="163"/>
      <c r="C265" s="4">
        <v>24</v>
      </c>
      <c r="D265" s="78">
        <f>IF('11'!E28="","",'11'!E28)</f>
        <v>46243</v>
      </c>
      <c r="E265" s="76" t="s">
        <v>95</v>
      </c>
      <c r="F265" s="76"/>
      <c r="G265" s="76" t="str">
        <f t="shared" si="4"/>
        <v>Залито</v>
      </c>
    </row>
    <row r="266" spans="1:7" x14ac:dyDescent="0.25">
      <c r="A266" s="101" t="s">
        <v>24</v>
      </c>
      <c r="B266" s="161" t="s">
        <v>24</v>
      </c>
      <c r="C266" s="4">
        <v>1</v>
      </c>
      <c r="D266" s="78">
        <f>IF('12'!E5="","",'12'!E5)</f>
        <v>46217</v>
      </c>
      <c r="E266" s="76" t="s">
        <v>95</v>
      </c>
      <c r="F266" s="76"/>
      <c r="G266" s="76" t="str">
        <f t="shared" si="4"/>
        <v>Залито</v>
      </c>
    </row>
    <row r="267" spans="1:7" x14ac:dyDescent="0.25">
      <c r="A267" s="101" t="s">
        <v>24</v>
      </c>
      <c r="B267" s="162"/>
      <c r="C267" s="4">
        <v>2</v>
      </c>
      <c r="D267" s="78">
        <f>IF('12'!E6="","",'12'!E6)</f>
        <v>46228</v>
      </c>
      <c r="E267" s="76" t="s">
        <v>95</v>
      </c>
      <c r="F267" s="76"/>
      <c r="G267" s="76" t="str">
        <f t="shared" si="4"/>
        <v>Залито</v>
      </c>
    </row>
    <row r="268" spans="1:7" x14ac:dyDescent="0.25">
      <c r="A268" s="101" t="s">
        <v>24</v>
      </c>
      <c r="B268" s="162"/>
      <c r="C268" s="4">
        <v>3</v>
      </c>
      <c r="D268" s="78">
        <f>IF('12'!E7="","",'12'!E7)</f>
        <v>46225</v>
      </c>
      <c r="E268" s="76" t="s">
        <v>95</v>
      </c>
      <c r="F268" s="76"/>
      <c r="G268" s="76" t="str">
        <f t="shared" si="4"/>
        <v>Залито</v>
      </c>
    </row>
    <row r="269" spans="1:7" x14ac:dyDescent="0.25">
      <c r="A269" s="101" t="s">
        <v>24</v>
      </c>
      <c r="B269" s="162"/>
      <c r="C269" s="4">
        <v>4</v>
      </c>
      <c r="D269" s="78">
        <f>IF('12'!E8="","",'12'!E8)</f>
        <v>46234</v>
      </c>
      <c r="E269" s="76" t="s">
        <v>95</v>
      </c>
      <c r="F269" s="76"/>
      <c r="G269" s="76" t="str">
        <f t="shared" si="4"/>
        <v>Залито</v>
      </c>
    </row>
    <row r="270" spans="1:7" x14ac:dyDescent="0.25">
      <c r="A270" s="101" t="s">
        <v>24</v>
      </c>
      <c r="B270" s="162"/>
      <c r="C270" s="4">
        <v>5</v>
      </c>
      <c r="D270" s="78">
        <f>IF('12'!E9="","",'12'!E9)</f>
        <v>46246</v>
      </c>
      <c r="E270" s="76" t="s">
        <v>95</v>
      </c>
      <c r="F270" s="76"/>
      <c r="G270" s="76" t="str">
        <f t="shared" si="4"/>
        <v>Залито</v>
      </c>
    </row>
    <row r="271" spans="1:7" x14ac:dyDescent="0.25">
      <c r="A271" s="101" t="s">
        <v>24</v>
      </c>
      <c r="B271" s="162"/>
      <c r="C271" s="4">
        <v>6</v>
      </c>
      <c r="D271" s="78">
        <f>IF('12'!E10="","",'12'!E10)</f>
        <v>46245</v>
      </c>
      <c r="E271" s="76" t="s">
        <v>95</v>
      </c>
      <c r="F271" s="76"/>
      <c r="G271" s="76" t="str">
        <f t="shared" si="4"/>
        <v>Залито</v>
      </c>
    </row>
    <row r="272" spans="1:7" x14ac:dyDescent="0.25">
      <c r="A272" s="101" t="s">
        <v>24</v>
      </c>
      <c r="B272" s="162"/>
      <c r="C272" s="4">
        <v>7</v>
      </c>
      <c r="D272" s="78">
        <f>IF('12'!E11="","",'12'!E11)</f>
        <v>46214</v>
      </c>
      <c r="E272" s="76" t="s">
        <v>95</v>
      </c>
      <c r="F272" s="76"/>
      <c r="G272" s="76" t="str">
        <f t="shared" si="4"/>
        <v>Залито</v>
      </c>
    </row>
    <row r="273" spans="1:7" x14ac:dyDescent="0.25">
      <c r="A273" s="101" t="s">
        <v>24</v>
      </c>
      <c r="B273" s="162"/>
      <c r="C273" s="4">
        <v>8</v>
      </c>
      <c r="D273" s="78">
        <f>IF('12'!E12="","",'12'!E12)</f>
        <v>46227</v>
      </c>
      <c r="E273" s="76" t="s">
        <v>95</v>
      </c>
      <c r="F273" s="76"/>
      <c r="G273" s="76" t="str">
        <f t="shared" si="4"/>
        <v>Залито</v>
      </c>
    </row>
    <row r="274" spans="1:7" x14ac:dyDescent="0.25">
      <c r="A274" s="101" t="s">
        <v>24</v>
      </c>
      <c r="B274" s="162"/>
      <c r="C274" s="4">
        <v>9</v>
      </c>
      <c r="D274" s="78">
        <f>IF('12'!E13="","",'12'!E13)</f>
        <v>46219</v>
      </c>
      <c r="E274" s="76" t="s">
        <v>95</v>
      </c>
      <c r="F274" s="76"/>
      <c r="G274" s="76" t="str">
        <f t="shared" si="4"/>
        <v>Залито</v>
      </c>
    </row>
    <row r="275" spans="1:7" x14ac:dyDescent="0.25">
      <c r="A275" s="101" t="s">
        <v>24</v>
      </c>
      <c r="B275" s="162"/>
      <c r="C275" s="4">
        <v>10</v>
      </c>
      <c r="D275" s="78">
        <f>IF('12'!E14="","",'12'!E14)</f>
        <v>46225</v>
      </c>
      <c r="E275" s="76" t="s">
        <v>95</v>
      </c>
      <c r="F275" s="76"/>
      <c r="G275" s="76" t="str">
        <f t="shared" si="4"/>
        <v>Залито</v>
      </c>
    </row>
    <row r="276" spans="1:7" x14ac:dyDescent="0.25">
      <c r="A276" s="101" t="s">
        <v>24</v>
      </c>
      <c r="B276" s="162"/>
      <c r="C276" s="4">
        <v>11</v>
      </c>
      <c r="D276" s="78">
        <f>IF('12'!E15="","",'12'!E15)</f>
        <v>46219</v>
      </c>
      <c r="E276" s="76" t="s">
        <v>95</v>
      </c>
      <c r="F276" s="76"/>
      <c r="G276" s="76" t="str">
        <f t="shared" si="4"/>
        <v>Залито</v>
      </c>
    </row>
    <row r="277" spans="1:7" x14ac:dyDescent="0.25">
      <c r="A277" s="101" t="s">
        <v>24</v>
      </c>
      <c r="B277" s="162"/>
      <c r="C277" s="4">
        <v>12</v>
      </c>
      <c r="D277" s="78">
        <f>IF('12'!E16="","",'12'!E16)</f>
        <v>46224</v>
      </c>
      <c r="E277" s="76" t="s">
        <v>95</v>
      </c>
      <c r="F277" s="76"/>
      <c r="G277" s="76" t="str">
        <f t="shared" si="4"/>
        <v>Залито</v>
      </c>
    </row>
    <row r="278" spans="1:7" x14ac:dyDescent="0.25">
      <c r="A278" s="101" t="s">
        <v>24</v>
      </c>
      <c r="B278" s="162"/>
      <c r="C278" s="4">
        <v>13</v>
      </c>
      <c r="D278" s="78">
        <f>IF('12'!E17="","",'12'!E17)</f>
        <v>46218</v>
      </c>
      <c r="E278" s="76" t="s">
        <v>95</v>
      </c>
      <c r="F278" s="76"/>
      <c r="G278" s="76" t="str">
        <f t="shared" si="4"/>
        <v>Залито</v>
      </c>
    </row>
    <row r="279" spans="1:7" x14ac:dyDescent="0.25">
      <c r="A279" s="101" t="s">
        <v>24</v>
      </c>
      <c r="B279" s="162"/>
      <c r="C279" s="4">
        <v>14</v>
      </c>
      <c r="D279" s="78">
        <f>IF('12'!E18="","",'12'!E18)</f>
        <v>46228</v>
      </c>
      <c r="E279" s="76" t="s">
        <v>95</v>
      </c>
      <c r="F279" s="76"/>
      <c r="G279" s="76" t="str">
        <f t="shared" si="4"/>
        <v>Залито</v>
      </c>
    </row>
    <row r="280" spans="1:7" x14ac:dyDescent="0.25">
      <c r="A280" s="101" t="s">
        <v>24</v>
      </c>
      <c r="B280" s="162"/>
      <c r="C280" s="4">
        <v>15</v>
      </c>
      <c r="D280" s="78">
        <f>IF('12'!E19="","",'12'!E19)</f>
        <v>46223</v>
      </c>
      <c r="E280" s="76" t="s">
        <v>95</v>
      </c>
      <c r="F280" s="76"/>
      <c r="G280" s="76" t="str">
        <f t="shared" si="4"/>
        <v>Залито</v>
      </c>
    </row>
    <row r="281" spans="1:7" x14ac:dyDescent="0.25">
      <c r="A281" s="101" t="s">
        <v>24</v>
      </c>
      <c r="B281" s="162"/>
      <c r="C281" s="4">
        <v>16</v>
      </c>
      <c r="D281" s="78">
        <f>IF('12'!E20="","",'12'!E20)</f>
        <v>46226</v>
      </c>
      <c r="E281" s="76" t="s">
        <v>95</v>
      </c>
      <c r="F281" s="76"/>
      <c r="G281" s="76" t="str">
        <f t="shared" si="4"/>
        <v>Залито</v>
      </c>
    </row>
    <row r="282" spans="1:7" x14ac:dyDescent="0.25">
      <c r="A282" s="101" t="s">
        <v>24</v>
      </c>
      <c r="B282" s="162"/>
      <c r="C282" s="4">
        <v>17</v>
      </c>
      <c r="D282" s="78">
        <f>IF('12'!E21="","",'12'!E21)</f>
        <v>46215</v>
      </c>
      <c r="E282" s="76" t="s">
        <v>95</v>
      </c>
      <c r="F282" s="76"/>
      <c r="G282" s="76" t="str">
        <f t="shared" si="4"/>
        <v>Залито</v>
      </c>
    </row>
    <row r="283" spans="1:7" x14ac:dyDescent="0.25">
      <c r="A283" s="101" t="s">
        <v>24</v>
      </c>
      <c r="B283" s="162"/>
      <c r="C283" s="4">
        <v>18</v>
      </c>
      <c r="D283" s="78">
        <f>IF('12'!E22="","",'12'!E22)</f>
        <v>46227</v>
      </c>
      <c r="E283" s="76" t="s">
        <v>95</v>
      </c>
      <c r="F283" s="76"/>
      <c r="G283" s="76" t="str">
        <f t="shared" si="4"/>
        <v>Залито</v>
      </c>
    </row>
    <row r="284" spans="1:7" x14ac:dyDescent="0.25">
      <c r="A284" s="101" t="s">
        <v>24</v>
      </c>
      <c r="B284" s="162"/>
      <c r="C284" s="4">
        <v>19</v>
      </c>
      <c r="D284" s="78">
        <f>IF('12'!E23="","",'12'!E23)</f>
        <v>46232</v>
      </c>
      <c r="E284" s="76" t="s">
        <v>95</v>
      </c>
      <c r="F284" s="76"/>
      <c r="G284" s="76" t="str">
        <f t="shared" si="4"/>
        <v>Залито</v>
      </c>
    </row>
    <row r="285" spans="1:7" x14ac:dyDescent="0.25">
      <c r="A285" s="101" t="s">
        <v>24</v>
      </c>
      <c r="B285" s="162"/>
      <c r="C285" s="4">
        <v>20</v>
      </c>
      <c r="D285" s="78">
        <f>IF('12'!E24="","",'12'!E24)</f>
        <v>46235</v>
      </c>
      <c r="E285" s="76" t="s">
        <v>95</v>
      </c>
      <c r="F285" s="76"/>
      <c r="G285" s="76" t="str">
        <f t="shared" si="4"/>
        <v>Залито</v>
      </c>
    </row>
    <row r="286" spans="1:7" x14ac:dyDescent="0.25">
      <c r="A286" s="101" t="s">
        <v>24</v>
      </c>
      <c r="B286" s="162"/>
      <c r="C286" s="4">
        <v>21</v>
      </c>
      <c r="D286" s="78">
        <f>IF('12'!E25="","",'12'!E25)</f>
        <v>46232</v>
      </c>
      <c r="E286" s="76" t="s">
        <v>95</v>
      </c>
      <c r="F286" s="76"/>
      <c r="G286" s="76" t="str">
        <f t="shared" si="4"/>
        <v>Залито</v>
      </c>
    </row>
    <row r="287" spans="1:7" x14ac:dyDescent="0.25">
      <c r="A287" s="101" t="s">
        <v>24</v>
      </c>
      <c r="B287" s="162"/>
      <c r="C287" s="4">
        <v>22</v>
      </c>
      <c r="D287" s="78">
        <f>IF('12'!E26="","",'12'!E26)</f>
        <v>46224</v>
      </c>
      <c r="E287" s="76" t="s">
        <v>95</v>
      </c>
      <c r="F287" s="76"/>
      <c r="G287" s="76" t="str">
        <f t="shared" si="4"/>
        <v>Залито</v>
      </c>
    </row>
    <row r="288" spans="1:7" x14ac:dyDescent="0.25">
      <c r="A288" s="101" t="s">
        <v>24</v>
      </c>
      <c r="B288" s="162"/>
      <c r="C288" s="4">
        <v>23</v>
      </c>
      <c r="D288" s="78">
        <f>IF('12'!E27="","",'12'!E27)</f>
        <v>46218</v>
      </c>
      <c r="E288" s="76" t="s">
        <v>95</v>
      </c>
      <c r="F288" s="76"/>
      <c r="G288" s="76" t="str">
        <f t="shared" si="4"/>
        <v>Залито</v>
      </c>
    </row>
    <row r="289" spans="1:7" x14ac:dyDescent="0.25">
      <c r="A289" s="101" t="s">
        <v>24</v>
      </c>
      <c r="B289" s="163"/>
      <c r="C289" s="4">
        <v>24</v>
      </c>
      <c r="D289" s="78">
        <f>IF('12'!E28="","",'12'!E28)</f>
        <v>46226</v>
      </c>
      <c r="E289" s="76" t="s">
        <v>95</v>
      </c>
      <c r="F289" s="76"/>
      <c r="G289" s="76" t="str">
        <f t="shared" si="4"/>
        <v>Залито</v>
      </c>
    </row>
    <row r="290" spans="1:7" x14ac:dyDescent="0.25">
      <c r="A290" s="102" t="s">
        <v>80</v>
      </c>
      <c r="B290" s="161" t="s">
        <v>80</v>
      </c>
      <c r="C290" s="4">
        <v>1</v>
      </c>
      <c r="D290" s="78">
        <f>IF('13'!E5="","",'13'!E5)</f>
        <v>46233</v>
      </c>
      <c r="E290" s="76" t="s">
        <v>95</v>
      </c>
      <c r="F290" s="76"/>
      <c r="G290" s="76" t="str">
        <f t="shared" si="4"/>
        <v>Залито</v>
      </c>
    </row>
    <row r="291" spans="1:7" x14ac:dyDescent="0.25">
      <c r="A291" s="102" t="s">
        <v>80</v>
      </c>
      <c r="B291" s="162"/>
      <c r="C291" s="4">
        <v>2</v>
      </c>
      <c r="D291" s="78">
        <f>IF('13'!E6="","",'13'!E6)</f>
        <v>46217</v>
      </c>
      <c r="E291" s="76" t="s">
        <v>95</v>
      </c>
      <c r="F291" s="76"/>
      <c r="G291" s="76" t="str">
        <f t="shared" si="4"/>
        <v>Залито</v>
      </c>
    </row>
    <row r="292" spans="1:7" x14ac:dyDescent="0.25">
      <c r="A292" s="102" t="s">
        <v>80</v>
      </c>
      <c r="B292" s="162"/>
      <c r="C292" s="4">
        <v>3</v>
      </c>
      <c r="D292" s="78">
        <f>IF('13'!E7="","",'13'!E7)</f>
        <v>46229</v>
      </c>
      <c r="E292" s="76" t="s">
        <v>95</v>
      </c>
      <c r="F292" s="76"/>
      <c r="G292" s="76" t="str">
        <f t="shared" si="4"/>
        <v>Залито</v>
      </c>
    </row>
    <row r="293" spans="1:7" x14ac:dyDescent="0.25">
      <c r="A293" s="102" t="s">
        <v>80</v>
      </c>
      <c r="B293" s="162"/>
      <c r="C293" s="4">
        <v>4</v>
      </c>
      <c r="D293" s="78">
        <f>IF('13'!E8="","",'13'!E8)</f>
        <v>46213</v>
      </c>
      <c r="E293" s="76" t="s">
        <v>95</v>
      </c>
      <c r="F293" s="76"/>
      <c r="G293" s="76" t="str">
        <f t="shared" si="4"/>
        <v>Залито</v>
      </c>
    </row>
    <row r="294" spans="1:7" x14ac:dyDescent="0.25">
      <c r="A294" s="102" t="s">
        <v>80</v>
      </c>
      <c r="B294" s="162"/>
      <c r="C294" s="4">
        <v>5</v>
      </c>
      <c r="D294" s="78">
        <f>IF('13'!E9="","",'13'!E9)</f>
        <v>46228</v>
      </c>
      <c r="E294" s="76" t="s">
        <v>95</v>
      </c>
      <c r="F294" s="76"/>
      <c r="G294" s="76" t="str">
        <f t="shared" si="4"/>
        <v>Залито</v>
      </c>
    </row>
    <row r="295" spans="1:7" x14ac:dyDescent="0.25">
      <c r="A295" s="102" t="s">
        <v>80</v>
      </c>
      <c r="B295" s="162"/>
      <c r="C295" s="4">
        <v>6</v>
      </c>
      <c r="D295" s="78">
        <f>IF('13'!E10="","",'13'!E10)</f>
        <v>46213</v>
      </c>
      <c r="E295" s="76" t="s">
        <v>95</v>
      </c>
      <c r="F295" s="76"/>
      <c r="G295" s="76" t="str">
        <f t="shared" si="4"/>
        <v>Залито</v>
      </c>
    </row>
    <row r="296" spans="1:7" x14ac:dyDescent="0.25">
      <c r="A296" s="102" t="s">
        <v>80</v>
      </c>
      <c r="B296" s="162"/>
      <c r="C296" s="4">
        <v>7</v>
      </c>
      <c r="D296" s="78">
        <f>IF('13'!E11="","",'13'!E11)</f>
        <v>46227</v>
      </c>
      <c r="E296" s="76" t="s">
        <v>95</v>
      </c>
      <c r="F296" s="76"/>
      <c r="G296" s="76" t="str">
        <f t="shared" si="4"/>
        <v>Залито</v>
      </c>
    </row>
    <row r="297" spans="1:7" x14ac:dyDescent="0.25">
      <c r="A297" s="102" t="s">
        <v>80</v>
      </c>
      <c r="B297" s="162"/>
      <c r="C297" s="4">
        <v>8</v>
      </c>
      <c r="D297" s="78">
        <f>IF('13'!E12="","",'13'!E12)</f>
        <v>46215</v>
      </c>
      <c r="E297" s="76" t="s">
        <v>95</v>
      </c>
      <c r="F297" s="76"/>
      <c r="G297" s="76" t="str">
        <f t="shared" si="4"/>
        <v>Залито</v>
      </c>
    </row>
    <row r="298" spans="1:7" x14ac:dyDescent="0.25">
      <c r="A298" s="102" t="s">
        <v>80</v>
      </c>
      <c r="B298" s="162"/>
      <c r="C298" s="4">
        <v>9</v>
      </c>
      <c r="D298" s="78">
        <f>IF('13'!E13="","",'13'!E13)</f>
        <v>46229</v>
      </c>
      <c r="E298" s="76" t="s">
        <v>95</v>
      </c>
      <c r="F298" s="76"/>
      <c r="G298" s="76" t="str">
        <f t="shared" si="4"/>
        <v>Залито</v>
      </c>
    </row>
    <row r="299" spans="1:7" x14ac:dyDescent="0.25">
      <c r="A299" s="102" t="s">
        <v>80</v>
      </c>
      <c r="B299" s="162"/>
      <c r="C299" s="4">
        <v>10</v>
      </c>
      <c r="D299" s="78">
        <f>IF('13'!E14="","",'13'!E14)</f>
        <v>46218</v>
      </c>
      <c r="E299" s="76" t="s">
        <v>95</v>
      </c>
      <c r="F299" s="76"/>
      <c r="G299" s="76" t="str">
        <f t="shared" si="4"/>
        <v>Залито</v>
      </c>
    </row>
    <row r="300" spans="1:7" x14ac:dyDescent="0.25">
      <c r="A300" s="102" t="s">
        <v>80</v>
      </c>
      <c r="B300" s="162"/>
      <c r="C300" s="4">
        <v>11</v>
      </c>
      <c r="D300" s="78">
        <f>IF('13'!E15="","",'13'!E15)</f>
        <v>46214</v>
      </c>
      <c r="E300" s="76" t="s">
        <v>95</v>
      </c>
      <c r="F300" s="76"/>
      <c r="G300" s="76" t="str">
        <f t="shared" si="4"/>
        <v>Залито</v>
      </c>
    </row>
    <row r="301" spans="1:7" x14ac:dyDescent="0.25">
      <c r="A301" s="102" t="s">
        <v>80</v>
      </c>
      <c r="B301" s="162"/>
      <c r="C301" s="4">
        <v>12</v>
      </c>
      <c r="D301" s="78">
        <f>IF('13'!E16="","",'13'!E16)</f>
        <v>46217</v>
      </c>
      <c r="E301" s="76" t="s">
        <v>95</v>
      </c>
      <c r="F301" s="76"/>
      <c r="G301" s="76" t="str">
        <f t="shared" si="4"/>
        <v>Залито</v>
      </c>
    </row>
    <row r="302" spans="1:7" x14ac:dyDescent="0.25">
      <c r="A302" s="102" t="s">
        <v>80</v>
      </c>
      <c r="B302" s="162"/>
      <c r="C302" s="4">
        <v>13</v>
      </c>
      <c r="D302" s="78">
        <f>IF('13'!E17="","",'13'!E17)</f>
        <v>46231</v>
      </c>
      <c r="E302" s="76" t="s">
        <v>95</v>
      </c>
      <c r="F302" s="76"/>
      <c r="G302" s="76" t="str">
        <f t="shared" si="4"/>
        <v>Залито</v>
      </c>
    </row>
    <row r="303" spans="1:7" x14ac:dyDescent="0.25">
      <c r="A303" s="102" t="s">
        <v>80</v>
      </c>
      <c r="B303" s="162"/>
      <c r="C303" s="4">
        <v>14</v>
      </c>
      <c r="D303" s="78">
        <f>IF('13'!E18="","",'13'!E18)</f>
        <v>46228</v>
      </c>
      <c r="E303" s="76" t="s">
        <v>95</v>
      </c>
      <c r="F303" s="76"/>
      <c r="G303" s="76" t="str">
        <f t="shared" si="4"/>
        <v>Залито</v>
      </c>
    </row>
    <row r="304" spans="1:7" x14ac:dyDescent="0.25">
      <c r="A304" s="102" t="s">
        <v>80</v>
      </c>
      <c r="B304" s="162"/>
      <c r="C304" s="4">
        <v>15</v>
      </c>
      <c r="D304" s="78">
        <f>IF('13'!E19="","",'13'!E19)</f>
        <v>46231</v>
      </c>
      <c r="E304" s="76" t="s">
        <v>95</v>
      </c>
      <c r="F304" s="76"/>
      <c r="G304" s="76" t="str">
        <f t="shared" si="4"/>
        <v>Залито</v>
      </c>
    </row>
    <row r="305" spans="1:7" x14ac:dyDescent="0.25">
      <c r="A305" s="102" t="s">
        <v>80</v>
      </c>
      <c r="B305" s="162"/>
      <c r="C305" s="4">
        <v>16</v>
      </c>
      <c r="D305" s="78">
        <f>IF('13'!E20="","",'13'!E20)</f>
        <v>46232</v>
      </c>
      <c r="E305" s="76" t="s">
        <v>95</v>
      </c>
      <c r="F305" s="76"/>
      <c r="G305" s="76" t="str">
        <f t="shared" si="4"/>
        <v>Залито</v>
      </c>
    </row>
    <row r="306" spans="1:7" x14ac:dyDescent="0.25">
      <c r="A306" s="102" t="s">
        <v>80</v>
      </c>
      <c r="B306" s="162"/>
      <c r="C306" s="4">
        <v>17</v>
      </c>
      <c r="D306" s="78">
        <f>IF('13'!E21="","",'13'!E21)</f>
        <v>46230</v>
      </c>
      <c r="E306" s="76" t="s">
        <v>95</v>
      </c>
      <c r="F306" s="76"/>
      <c r="G306" s="76" t="str">
        <f t="shared" si="4"/>
        <v>Залито</v>
      </c>
    </row>
    <row r="307" spans="1:7" x14ac:dyDescent="0.25">
      <c r="A307" s="102" t="s">
        <v>80</v>
      </c>
      <c r="B307" s="162"/>
      <c r="C307" s="4">
        <v>18</v>
      </c>
      <c r="D307" s="78">
        <f>IF('13'!E22="","",'13'!E22)</f>
        <v>46231</v>
      </c>
      <c r="E307" s="76" t="s">
        <v>95</v>
      </c>
      <c r="F307" s="76"/>
      <c r="G307" s="76" t="str">
        <f t="shared" si="4"/>
        <v>Залито</v>
      </c>
    </row>
    <row r="308" spans="1:7" x14ac:dyDescent="0.25">
      <c r="A308" s="102" t="s">
        <v>80</v>
      </c>
      <c r="B308" s="162"/>
      <c r="C308" s="4">
        <v>19</v>
      </c>
      <c r="D308" s="78">
        <f>IF('13'!E23="","",'13'!E23)</f>
        <v>46232</v>
      </c>
      <c r="E308" s="76" t="s">
        <v>95</v>
      </c>
      <c r="F308" s="76"/>
      <c r="G308" s="76" t="str">
        <f t="shared" si="4"/>
        <v>Залито</v>
      </c>
    </row>
    <row r="309" spans="1:7" x14ac:dyDescent="0.25">
      <c r="A309" s="102" t="s">
        <v>80</v>
      </c>
      <c r="B309" s="162"/>
      <c r="C309" s="4">
        <v>20</v>
      </c>
      <c r="D309" s="78">
        <f>IF('13'!E24="","",'13'!E24)</f>
        <v>46232</v>
      </c>
      <c r="E309" s="76" t="s">
        <v>95</v>
      </c>
      <c r="F309" s="76"/>
      <c r="G309" s="76" t="str">
        <f t="shared" si="4"/>
        <v>Залито</v>
      </c>
    </row>
    <row r="310" spans="1:7" x14ac:dyDescent="0.25">
      <c r="A310" s="102" t="s">
        <v>80</v>
      </c>
      <c r="B310" s="162"/>
      <c r="C310" s="4">
        <v>21</v>
      </c>
      <c r="D310" s="78">
        <f>IF('13'!E25="","",'13'!E25)</f>
        <v>46233</v>
      </c>
      <c r="E310" s="76" t="s">
        <v>95</v>
      </c>
      <c r="F310" s="76"/>
      <c r="G310" s="76" t="str">
        <f t="shared" si="4"/>
        <v>Залито</v>
      </c>
    </row>
    <row r="311" spans="1:7" x14ac:dyDescent="0.25">
      <c r="A311" s="102" t="s">
        <v>80</v>
      </c>
      <c r="B311" s="162"/>
      <c r="C311" s="4">
        <v>22</v>
      </c>
      <c r="D311" s="78">
        <f>IF('13'!E26="","",'13'!E26)</f>
        <v>46233</v>
      </c>
      <c r="E311" s="76" t="s">
        <v>95</v>
      </c>
      <c r="F311" s="76"/>
      <c r="G311" s="76" t="str">
        <f t="shared" si="4"/>
        <v>Залито</v>
      </c>
    </row>
    <row r="312" spans="1:7" x14ac:dyDescent="0.25">
      <c r="A312" s="102" t="s">
        <v>80</v>
      </c>
      <c r="B312" s="162"/>
      <c r="C312" s="4">
        <v>23</v>
      </c>
      <c r="D312" s="78">
        <f>IF('13'!E27="","",'13'!E27)</f>
        <v>46230</v>
      </c>
      <c r="E312" s="76" t="s">
        <v>95</v>
      </c>
      <c r="F312" s="76"/>
      <c r="G312" s="76" t="str">
        <f t="shared" si="4"/>
        <v>Залито</v>
      </c>
    </row>
    <row r="313" spans="1:7" x14ac:dyDescent="0.25">
      <c r="A313" s="102" t="s">
        <v>80</v>
      </c>
      <c r="B313" s="163"/>
      <c r="C313" s="4">
        <v>24</v>
      </c>
      <c r="D313" s="78">
        <f>IF('13'!E28="","",'13'!E28)</f>
        <v>46231</v>
      </c>
      <c r="E313" s="76" t="s">
        <v>95</v>
      </c>
      <c r="F313" s="76"/>
      <c r="G313" s="76" t="str">
        <f t="shared" si="4"/>
        <v>Залито</v>
      </c>
    </row>
    <row r="314" spans="1:7" x14ac:dyDescent="0.25">
      <c r="A314" s="103" t="s">
        <v>25</v>
      </c>
      <c r="B314" s="161" t="s">
        <v>25</v>
      </c>
      <c r="C314" s="4">
        <v>1</v>
      </c>
      <c r="D314" s="78">
        <f>IF('14'!E5="","",'14'!E5)</f>
        <v>46213</v>
      </c>
      <c r="E314" s="76" t="s">
        <v>95</v>
      </c>
      <c r="F314" s="76"/>
      <c r="G314" s="76" t="str">
        <f t="shared" si="4"/>
        <v>Залито</v>
      </c>
    </row>
    <row r="315" spans="1:7" x14ac:dyDescent="0.25">
      <c r="A315" s="103" t="s">
        <v>25</v>
      </c>
      <c r="B315" s="162"/>
      <c r="C315" s="4">
        <v>2</v>
      </c>
      <c r="D315" s="78">
        <f>IF('14'!E6="","",'14'!E6)</f>
        <v>46224</v>
      </c>
      <c r="E315" s="76" t="s">
        <v>95</v>
      </c>
      <c r="F315" s="76"/>
      <c r="G315" s="76" t="str">
        <f t="shared" si="4"/>
        <v>Залито</v>
      </c>
    </row>
    <row r="316" spans="1:7" x14ac:dyDescent="0.25">
      <c r="A316" s="103" t="s">
        <v>25</v>
      </c>
      <c r="B316" s="162"/>
      <c r="C316" s="4">
        <v>3</v>
      </c>
      <c r="D316" s="78">
        <f>IF('14'!E7="","",'14'!E7)</f>
        <v>46228</v>
      </c>
      <c r="E316" s="76" t="s">
        <v>95</v>
      </c>
      <c r="F316" s="76"/>
      <c r="G316" s="76" t="str">
        <f t="shared" si="4"/>
        <v>Залито</v>
      </c>
    </row>
    <row r="317" spans="1:7" x14ac:dyDescent="0.25">
      <c r="A317" s="103" t="s">
        <v>25</v>
      </c>
      <c r="B317" s="162"/>
      <c r="C317" s="4">
        <v>4</v>
      </c>
      <c r="D317" s="78">
        <f>IF('14'!E8="","",'14'!E8)</f>
        <v>46225</v>
      </c>
      <c r="E317" s="76" t="s">
        <v>95</v>
      </c>
      <c r="F317" s="76"/>
      <c r="G317" s="76" t="str">
        <f t="shared" si="4"/>
        <v>Залито</v>
      </c>
    </row>
    <row r="318" spans="1:7" x14ac:dyDescent="0.25">
      <c r="A318" s="103" t="s">
        <v>25</v>
      </c>
      <c r="B318" s="162"/>
      <c r="C318" s="4">
        <v>5</v>
      </c>
      <c r="D318" s="78">
        <f>IF('14'!E9="","",'14'!E9)</f>
        <v>46219</v>
      </c>
      <c r="E318" s="76" t="s">
        <v>95</v>
      </c>
      <c r="F318" s="76"/>
      <c r="G318" s="76" t="str">
        <f t="shared" si="4"/>
        <v>Залито</v>
      </c>
    </row>
    <row r="319" spans="1:7" x14ac:dyDescent="0.25">
      <c r="A319" s="103" t="s">
        <v>25</v>
      </c>
      <c r="B319" s="162"/>
      <c r="C319" s="4">
        <v>6</v>
      </c>
      <c r="D319" s="78">
        <f>IF('14'!E10="","",'14'!E10)</f>
        <v>46214</v>
      </c>
      <c r="E319" s="76" t="s">
        <v>95</v>
      </c>
      <c r="F319" s="76"/>
      <c r="G319" s="76" t="str">
        <f t="shared" si="4"/>
        <v>Залито</v>
      </c>
    </row>
    <row r="320" spans="1:7" x14ac:dyDescent="0.25">
      <c r="A320" s="103" t="s">
        <v>25</v>
      </c>
      <c r="B320" s="162"/>
      <c r="C320" s="4">
        <v>7</v>
      </c>
      <c r="D320" s="78">
        <f>IF('14'!E11="","",'14'!E11)</f>
        <v>46212</v>
      </c>
      <c r="E320" s="76" t="s">
        <v>95</v>
      </c>
      <c r="F320" s="76"/>
      <c r="G320" s="76" t="str">
        <f t="shared" si="4"/>
        <v>Залито</v>
      </c>
    </row>
    <row r="321" spans="1:7" x14ac:dyDescent="0.25">
      <c r="A321" s="103" t="s">
        <v>25</v>
      </c>
      <c r="B321" s="162"/>
      <c r="C321" s="4">
        <v>8</v>
      </c>
      <c r="D321" s="78">
        <f>IF('14'!E12="","",'14'!E12)</f>
        <v>46214</v>
      </c>
      <c r="E321" s="76" t="s">
        <v>95</v>
      </c>
      <c r="F321" s="76"/>
      <c r="G321" s="76" t="str">
        <f t="shared" si="4"/>
        <v>Залито</v>
      </c>
    </row>
    <row r="322" spans="1:7" x14ac:dyDescent="0.25">
      <c r="A322" s="103" t="s">
        <v>25</v>
      </c>
      <c r="B322" s="162"/>
      <c r="C322" s="4">
        <v>9</v>
      </c>
      <c r="D322" s="78">
        <f>IF('14'!E13="","",'14'!E13)</f>
        <v>46226</v>
      </c>
      <c r="E322" s="76" t="s">
        <v>95</v>
      </c>
      <c r="F322" s="76"/>
      <c r="G322" s="76" t="str">
        <f t="shared" si="4"/>
        <v>Залито</v>
      </c>
    </row>
    <row r="323" spans="1:7" x14ac:dyDescent="0.25">
      <c r="A323" s="103" t="s">
        <v>25</v>
      </c>
      <c r="B323" s="162"/>
      <c r="C323" s="4">
        <v>10</v>
      </c>
      <c r="D323" s="78">
        <f>IF('14'!E14="","",'14'!E14)</f>
        <v>46227</v>
      </c>
      <c r="E323" s="76" t="s">
        <v>95</v>
      </c>
      <c r="F323" s="76"/>
      <c r="G323" s="76" t="str">
        <f t="shared" ref="G323:G386" si="5">IF(OR(D323="", D323=0, ISBLANK(D323)), "Не залито", "Залито")</f>
        <v>Залито</v>
      </c>
    </row>
    <row r="324" spans="1:7" x14ac:dyDescent="0.25">
      <c r="A324" s="103" t="s">
        <v>25</v>
      </c>
      <c r="B324" s="162"/>
      <c r="C324" s="4">
        <v>11</v>
      </c>
      <c r="D324" s="78">
        <f>IF('14'!E15="","",'14'!E15)</f>
        <v>46228</v>
      </c>
      <c r="E324" s="76" t="s">
        <v>95</v>
      </c>
      <c r="F324" s="76"/>
      <c r="G324" s="76" t="str">
        <f t="shared" si="5"/>
        <v>Залито</v>
      </c>
    </row>
    <row r="325" spans="1:7" x14ac:dyDescent="0.25">
      <c r="A325" s="103" t="s">
        <v>25</v>
      </c>
      <c r="B325" s="162"/>
      <c r="C325" s="4">
        <v>12</v>
      </c>
      <c r="D325" s="78">
        <f>IF('14'!E16="","",'14'!E16)</f>
        <v>46235</v>
      </c>
      <c r="E325" s="76" t="s">
        <v>95</v>
      </c>
      <c r="F325" s="76"/>
      <c r="G325" s="76" t="str">
        <f t="shared" si="5"/>
        <v>Залито</v>
      </c>
    </row>
    <row r="326" spans="1:7" x14ac:dyDescent="0.25">
      <c r="A326" s="103" t="s">
        <v>25</v>
      </c>
      <c r="B326" s="162"/>
      <c r="C326" s="4">
        <v>13</v>
      </c>
      <c r="D326" s="78">
        <f>IF('14'!E17="","",'14'!E17)</f>
        <v>46213</v>
      </c>
      <c r="E326" s="76" t="s">
        <v>95</v>
      </c>
      <c r="F326" s="76"/>
      <c r="G326" s="76" t="str">
        <f t="shared" si="5"/>
        <v>Залито</v>
      </c>
    </row>
    <row r="327" spans="1:7" x14ac:dyDescent="0.25">
      <c r="A327" s="103" t="s">
        <v>25</v>
      </c>
      <c r="B327" s="162"/>
      <c r="C327" s="4">
        <v>14</v>
      </c>
      <c r="D327" s="78">
        <f>IF('14'!E18="","",'14'!E18)</f>
        <v>46234</v>
      </c>
      <c r="E327" s="76" t="s">
        <v>95</v>
      </c>
      <c r="F327" s="76"/>
      <c r="G327" s="76" t="str">
        <f t="shared" si="5"/>
        <v>Залито</v>
      </c>
    </row>
    <row r="328" spans="1:7" x14ac:dyDescent="0.25">
      <c r="A328" s="103" t="s">
        <v>25</v>
      </c>
      <c r="B328" s="162"/>
      <c r="C328" s="4">
        <v>15</v>
      </c>
      <c r="D328" s="78">
        <f>IF('14'!E19="","",'14'!E19)</f>
        <v>46233</v>
      </c>
      <c r="E328" s="76" t="s">
        <v>95</v>
      </c>
      <c r="F328" s="76"/>
      <c r="G328" s="76" t="str">
        <f t="shared" si="5"/>
        <v>Залито</v>
      </c>
    </row>
    <row r="329" spans="1:7" x14ac:dyDescent="0.25">
      <c r="A329" s="103" t="s">
        <v>25</v>
      </c>
      <c r="B329" s="162"/>
      <c r="C329" s="4">
        <v>16</v>
      </c>
      <c r="D329" s="78">
        <f>IF('14'!E20="","",'14'!E20)</f>
        <v>46226</v>
      </c>
      <c r="E329" s="76" t="s">
        <v>95</v>
      </c>
      <c r="F329" s="76"/>
      <c r="G329" s="76" t="str">
        <f t="shared" si="5"/>
        <v>Залито</v>
      </c>
    </row>
    <row r="330" spans="1:7" x14ac:dyDescent="0.25">
      <c r="A330" s="103" t="s">
        <v>25</v>
      </c>
      <c r="B330" s="162"/>
      <c r="C330" s="4">
        <v>17</v>
      </c>
      <c r="D330" s="78">
        <f>IF('14'!E21="","",'14'!E21)</f>
        <v>46227</v>
      </c>
      <c r="E330" s="76" t="s">
        <v>95</v>
      </c>
      <c r="F330" s="76"/>
      <c r="G330" s="76" t="str">
        <f t="shared" si="5"/>
        <v>Залито</v>
      </c>
    </row>
    <row r="331" spans="1:7" x14ac:dyDescent="0.25">
      <c r="A331" s="103" t="s">
        <v>25</v>
      </c>
      <c r="B331" s="162"/>
      <c r="C331" s="4">
        <v>18</v>
      </c>
      <c r="D331" s="78">
        <f>IF('14'!E22="","",'14'!E22)</f>
        <v>46225</v>
      </c>
      <c r="E331" s="76" t="s">
        <v>95</v>
      </c>
      <c r="F331" s="76"/>
      <c r="G331" s="76" t="str">
        <f t="shared" si="5"/>
        <v>Залито</v>
      </c>
    </row>
    <row r="332" spans="1:7" x14ac:dyDescent="0.25">
      <c r="A332" s="103" t="s">
        <v>25</v>
      </c>
      <c r="B332" s="162"/>
      <c r="C332" s="4">
        <v>19</v>
      </c>
      <c r="D332" s="78">
        <f>IF('14'!E23="","",'14'!E23)</f>
        <v>46234</v>
      </c>
      <c r="E332" s="76" t="s">
        <v>95</v>
      </c>
      <c r="F332" s="76"/>
      <c r="G332" s="76" t="str">
        <f t="shared" si="5"/>
        <v>Залито</v>
      </c>
    </row>
    <row r="333" spans="1:7" x14ac:dyDescent="0.25">
      <c r="A333" s="103" t="s">
        <v>25</v>
      </c>
      <c r="B333" s="162"/>
      <c r="C333" s="4">
        <v>20</v>
      </c>
      <c r="D333" s="78">
        <f>IF('14'!E24="","",'14'!E24)</f>
        <v>46229</v>
      </c>
      <c r="E333" s="76" t="s">
        <v>95</v>
      </c>
      <c r="F333" s="76"/>
      <c r="G333" s="76" t="str">
        <f t="shared" si="5"/>
        <v>Залито</v>
      </c>
    </row>
    <row r="334" spans="1:7" x14ac:dyDescent="0.25">
      <c r="A334" s="103" t="s">
        <v>25</v>
      </c>
      <c r="B334" s="162"/>
      <c r="C334" s="4">
        <v>21</v>
      </c>
      <c r="D334" s="78">
        <f>IF('14'!E25="","",'14'!E25)</f>
        <v>46230</v>
      </c>
      <c r="E334" s="76" t="s">
        <v>95</v>
      </c>
      <c r="F334" s="76"/>
      <c r="G334" s="76" t="str">
        <f t="shared" si="5"/>
        <v>Залито</v>
      </c>
    </row>
    <row r="335" spans="1:7" x14ac:dyDescent="0.25">
      <c r="A335" s="103" t="s">
        <v>25</v>
      </c>
      <c r="B335" s="162"/>
      <c r="C335" s="4">
        <v>22</v>
      </c>
      <c r="D335" s="78">
        <f>IF('14'!E26="","",'14'!E26)</f>
        <v>46229</v>
      </c>
      <c r="E335" s="76" t="s">
        <v>95</v>
      </c>
      <c r="F335" s="76"/>
      <c r="G335" s="76" t="str">
        <f t="shared" si="5"/>
        <v>Залито</v>
      </c>
    </row>
    <row r="336" spans="1:7" x14ac:dyDescent="0.25">
      <c r="A336" s="103" t="s">
        <v>25</v>
      </c>
      <c r="B336" s="162"/>
      <c r="C336" s="4">
        <v>23</v>
      </c>
      <c r="D336" s="78">
        <f>IF('14'!E27="","",'14'!E27)</f>
        <v>46225</v>
      </c>
      <c r="E336" s="76" t="s">
        <v>95</v>
      </c>
      <c r="F336" s="76"/>
      <c r="G336" s="76" t="str">
        <f t="shared" si="5"/>
        <v>Залито</v>
      </c>
    </row>
    <row r="337" spans="1:7" x14ac:dyDescent="0.25">
      <c r="A337" s="103" t="s">
        <v>25</v>
      </c>
      <c r="B337" s="163"/>
      <c r="C337" s="4">
        <v>24</v>
      </c>
      <c r="D337" s="78">
        <f>IF('14'!E28="","",'14'!E28)</f>
        <v>46224</v>
      </c>
      <c r="E337" s="76" t="s">
        <v>95</v>
      </c>
      <c r="F337" s="76"/>
      <c r="G337" s="76" t="str">
        <f t="shared" si="5"/>
        <v>Залито</v>
      </c>
    </row>
    <row r="338" spans="1:7" x14ac:dyDescent="0.25">
      <c r="A338" s="104" t="s">
        <v>8</v>
      </c>
      <c r="B338" s="161" t="s">
        <v>8</v>
      </c>
      <c r="C338" s="4">
        <v>1</v>
      </c>
      <c r="D338" s="78">
        <f>IF('15'!E5="","",'15'!E5)</f>
        <v>46225</v>
      </c>
      <c r="E338" s="76" t="s">
        <v>95</v>
      </c>
      <c r="F338" s="76"/>
      <c r="G338" s="76" t="str">
        <f t="shared" si="5"/>
        <v>Залито</v>
      </c>
    </row>
    <row r="339" spans="1:7" x14ac:dyDescent="0.25">
      <c r="A339" s="104" t="s">
        <v>8</v>
      </c>
      <c r="B339" s="162"/>
      <c r="C339" s="4">
        <v>2</v>
      </c>
      <c r="D339" s="78">
        <f>IF('15'!E6="","",'15'!E6)</f>
        <v>46226</v>
      </c>
      <c r="E339" s="76" t="s">
        <v>95</v>
      </c>
      <c r="F339" s="76"/>
      <c r="G339" s="76" t="str">
        <f t="shared" si="5"/>
        <v>Залито</v>
      </c>
    </row>
    <row r="340" spans="1:7" x14ac:dyDescent="0.25">
      <c r="A340" s="104" t="s">
        <v>8</v>
      </c>
      <c r="B340" s="162"/>
      <c r="C340" s="4">
        <v>3</v>
      </c>
      <c r="D340" s="78">
        <f>IF('15'!E7="","",'15'!E7)</f>
        <v>46224</v>
      </c>
      <c r="E340" s="76" t="s">
        <v>95</v>
      </c>
      <c r="F340" s="76"/>
      <c r="G340" s="76" t="str">
        <f t="shared" si="5"/>
        <v>Залито</v>
      </c>
    </row>
    <row r="341" spans="1:7" x14ac:dyDescent="0.25">
      <c r="A341" s="104" t="s">
        <v>8</v>
      </c>
      <c r="B341" s="162"/>
      <c r="C341" s="4">
        <v>4</v>
      </c>
      <c r="D341" s="78">
        <f>IF('15'!E8="","",'15'!E8)</f>
        <v>46222</v>
      </c>
      <c r="E341" s="76" t="s">
        <v>95</v>
      </c>
      <c r="F341" s="76"/>
      <c r="G341" s="76" t="str">
        <f t="shared" si="5"/>
        <v>Залито</v>
      </c>
    </row>
    <row r="342" spans="1:7" x14ac:dyDescent="0.25">
      <c r="A342" s="104" t="s">
        <v>8</v>
      </c>
      <c r="B342" s="162"/>
      <c r="C342" s="4">
        <v>5</v>
      </c>
      <c r="D342" s="78">
        <f>IF('15'!E9="","",'15'!E9)</f>
        <v>46224</v>
      </c>
      <c r="E342" s="76" t="s">
        <v>95</v>
      </c>
      <c r="F342" s="76"/>
      <c r="G342" s="76" t="str">
        <f t="shared" si="5"/>
        <v>Залито</v>
      </c>
    </row>
    <row r="343" spans="1:7" x14ac:dyDescent="0.25">
      <c r="A343" s="104" t="s">
        <v>8</v>
      </c>
      <c r="B343" s="162"/>
      <c r="C343" s="4">
        <v>6</v>
      </c>
      <c r="D343" s="78">
        <f>IF('15'!E10="","",'15'!E10)</f>
        <v>46221</v>
      </c>
      <c r="E343" s="76" t="s">
        <v>95</v>
      </c>
      <c r="F343" s="76"/>
      <c r="G343" s="76" t="str">
        <f t="shared" si="5"/>
        <v>Залито</v>
      </c>
    </row>
    <row r="344" spans="1:7" x14ac:dyDescent="0.25">
      <c r="A344" s="104" t="s">
        <v>8</v>
      </c>
      <c r="B344" s="162"/>
      <c r="C344" s="4">
        <v>7</v>
      </c>
      <c r="D344" s="78">
        <f>IF('15'!E11="","",'15'!E11)</f>
        <v>46224</v>
      </c>
      <c r="E344" s="76" t="s">
        <v>95</v>
      </c>
      <c r="F344" s="76"/>
      <c r="G344" s="76" t="str">
        <f t="shared" si="5"/>
        <v>Залито</v>
      </c>
    </row>
    <row r="345" spans="1:7" x14ac:dyDescent="0.25">
      <c r="A345" s="104" t="s">
        <v>8</v>
      </c>
      <c r="B345" s="162"/>
      <c r="C345" s="4">
        <v>8</v>
      </c>
      <c r="D345" s="78">
        <f>IF('15'!E12="","",'15'!E12)</f>
        <v>46220</v>
      </c>
      <c r="E345" s="76" t="s">
        <v>95</v>
      </c>
      <c r="F345" s="76"/>
      <c r="G345" s="76" t="str">
        <f t="shared" si="5"/>
        <v>Залито</v>
      </c>
    </row>
    <row r="346" spans="1:7" x14ac:dyDescent="0.25">
      <c r="A346" s="104" t="s">
        <v>8</v>
      </c>
      <c r="B346" s="162"/>
      <c r="C346" s="4">
        <v>9</v>
      </c>
      <c r="D346" s="78">
        <f>IF('15'!E13="","",'15'!E13)</f>
        <v>46216</v>
      </c>
      <c r="E346" s="76" t="s">
        <v>95</v>
      </c>
      <c r="F346" s="76"/>
      <c r="G346" s="76" t="str">
        <f t="shared" si="5"/>
        <v>Залито</v>
      </c>
    </row>
    <row r="347" spans="1:7" x14ac:dyDescent="0.25">
      <c r="A347" s="104" t="s">
        <v>8</v>
      </c>
      <c r="B347" s="162"/>
      <c r="C347" s="4">
        <v>10</v>
      </c>
      <c r="D347" s="78">
        <f>IF('15'!E14="","",'15'!E14)</f>
        <v>46219</v>
      </c>
      <c r="E347" s="76" t="s">
        <v>95</v>
      </c>
      <c r="F347" s="76"/>
      <c r="G347" s="76" t="str">
        <f t="shared" si="5"/>
        <v>Залито</v>
      </c>
    </row>
    <row r="348" spans="1:7" x14ac:dyDescent="0.25">
      <c r="A348" s="104" t="s">
        <v>8</v>
      </c>
      <c r="B348" s="162"/>
      <c r="C348" s="4">
        <v>11</v>
      </c>
      <c r="D348" s="78">
        <f>IF('15'!E15="","",'15'!E15)</f>
        <v>46217</v>
      </c>
      <c r="E348" s="76" t="s">
        <v>95</v>
      </c>
      <c r="F348" s="76"/>
      <c r="G348" s="76" t="str">
        <f t="shared" si="5"/>
        <v>Залито</v>
      </c>
    </row>
    <row r="349" spans="1:7" x14ac:dyDescent="0.25">
      <c r="A349" s="104" t="s">
        <v>8</v>
      </c>
      <c r="B349" s="162"/>
      <c r="C349" s="4">
        <v>12</v>
      </c>
      <c r="D349" s="78">
        <f>IF('15'!E16="","",'15'!E16)</f>
        <v>46223</v>
      </c>
      <c r="E349" s="76" t="s">
        <v>95</v>
      </c>
      <c r="F349" s="76"/>
      <c r="G349" s="76" t="str">
        <f t="shared" si="5"/>
        <v>Залито</v>
      </c>
    </row>
    <row r="350" spans="1:7" x14ac:dyDescent="0.25">
      <c r="A350" s="104" t="s">
        <v>8</v>
      </c>
      <c r="B350" s="162"/>
      <c r="C350" s="4">
        <v>13</v>
      </c>
      <c r="D350" s="78">
        <f>IF('15'!E17="","",'15'!E17)</f>
        <v>46219</v>
      </c>
      <c r="E350" s="76" t="s">
        <v>95</v>
      </c>
      <c r="F350" s="76"/>
      <c r="G350" s="76" t="str">
        <f t="shared" si="5"/>
        <v>Залито</v>
      </c>
    </row>
    <row r="351" spans="1:7" x14ac:dyDescent="0.25">
      <c r="A351" s="104" t="s">
        <v>8</v>
      </c>
      <c r="B351" s="162"/>
      <c r="C351" s="4">
        <v>14</v>
      </c>
      <c r="D351" s="78">
        <f>IF('15'!E18="","",'15'!E18)</f>
        <v>46223</v>
      </c>
      <c r="E351" s="76" t="s">
        <v>95</v>
      </c>
      <c r="F351" s="76"/>
      <c r="G351" s="76" t="str">
        <f t="shared" si="5"/>
        <v>Залито</v>
      </c>
    </row>
    <row r="352" spans="1:7" x14ac:dyDescent="0.25">
      <c r="A352" s="104" t="s">
        <v>8</v>
      </c>
      <c r="B352" s="162"/>
      <c r="C352" s="4">
        <v>15</v>
      </c>
      <c r="D352" s="78">
        <f>IF('15'!E19="","",'15'!E19)</f>
        <v>46225</v>
      </c>
      <c r="E352" s="76" t="s">
        <v>95</v>
      </c>
      <c r="F352" s="76"/>
      <c r="G352" s="76" t="str">
        <f t="shared" si="5"/>
        <v>Залито</v>
      </c>
    </row>
    <row r="353" spans="1:7" x14ac:dyDescent="0.25">
      <c r="A353" s="104" t="s">
        <v>8</v>
      </c>
      <c r="B353" s="162"/>
      <c r="C353" s="4">
        <v>16</v>
      </c>
      <c r="D353" s="78">
        <f>IF('15'!E20="","",'15'!E20)</f>
        <v>46227</v>
      </c>
      <c r="E353" s="76" t="s">
        <v>95</v>
      </c>
      <c r="F353" s="76"/>
      <c r="G353" s="76" t="str">
        <f t="shared" si="5"/>
        <v>Залито</v>
      </c>
    </row>
    <row r="354" spans="1:7" x14ac:dyDescent="0.25">
      <c r="A354" s="104" t="s">
        <v>8</v>
      </c>
      <c r="B354" s="162"/>
      <c r="C354" s="4">
        <v>17</v>
      </c>
      <c r="D354" s="78">
        <f>IF('15'!E21="","",'15'!E21)</f>
        <v>46225</v>
      </c>
      <c r="E354" s="76" t="s">
        <v>95</v>
      </c>
      <c r="F354" s="76"/>
      <c r="G354" s="76" t="str">
        <f t="shared" si="5"/>
        <v>Залито</v>
      </c>
    </row>
    <row r="355" spans="1:7" x14ac:dyDescent="0.25">
      <c r="A355" s="104" t="s">
        <v>8</v>
      </c>
      <c r="B355" s="162"/>
      <c r="C355" s="4">
        <v>18</v>
      </c>
      <c r="D355" s="78">
        <f>IF('15'!E22="","",'15'!E22)</f>
        <v>46227</v>
      </c>
      <c r="E355" s="76" t="s">
        <v>95</v>
      </c>
      <c r="F355" s="76"/>
      <c r="G355" s="76" t="str">
        <f t="shared" si="5"/>
        <v>Залито</v>
      </c>
    </row>
    <row r="356" spans="1:7" x14ac:dyDescent="0.25">
      <c r="A356" s="104" t="s">
        <v>8</v>
      </c>
      <c r="B356" s="162"/>
      <c r="C356" s="4">
        <v>19</v>
      </c>
      <c r="D356" s="78">
        <f>IF('15'!E23="","",'15'!E23)</f>
        <v>46228</v>
      </c>
      <c r="E356" s="76" t="s">
        <v>95</v>
      </c>
      <c r="F356" s="76"/>
      <c r="G356" s="76" t="str">
        <f t="shared" si="5"/>
        <v>Залито</v>
      </c>
    </row>
    <row r="357" spans="1:7" x14ac:dyDescent="0.25">
      <c r="A357" s="104" t="s">
        <v>8</v>
      </c>
      <c r="B357" s="162"/>
      <c r="C357" s="4">
        <v>20</v>
      </c>
      <c r="D357" s="78">
        <f>IF('15'!E24="","",'15'!E24)</f>
        <v>46229</v>
      </c>
      <c r="E357" s="76" t="s">
        <v>95</v>
      </c>
      <c r="F357" s="76"/>
      <c r="G357" s="76" t="str">
        <f t="shared" si="5"/>
        <v>Залито</v>
      </c>
    </row>
    <row r="358" spans="1:7" x14ac:dyDescent="0.25">
      <c r="A358" s="104" t="s">
        <v>8</v>
      </c>
      <c r="B358" s="162"/>
      <c r="C358" s="4">
        <v>21</v>
      </c>
      <c r="D358" s="78">
        <f>IF('15'!E25="","",'15'!E25)</f>
        <v>46229</v>
      </c>
      <c r="E358" s="76" t="s">
        <v>95</v>
      </c>
      <c r="F358" s="76"/>
      <c r="G358" s="76" t="str">
        <f t="shared" si="5"/>
        <v>Залито</v>
      </c>
    </row>
    <row r="359" spans="1:7" x14ac:dyDescent="0.25">
      <c r="A359" s="104" t="s">
        <v>8</v>
      </c>
      <c r="B359" s="162"/>
      <c r="C359" s="4">
        <v>22</v>
      </c>
      <c r="D359" s="78">
        <f>IF('15'!E26="","",'15'!E26)</f>
        <v>46228</v>
      </c>
      <c r="E359" s="76" t="s">
        <v>95</v>
      </c>
      <c r="F359" s="76"/>
      <c r="G359" s="76" t="str">
        <f t="shared" si="5"/>
        <v>Залито</v>
      </c>
    </row>
    <row r="360" spans="1:7" x14ac:dyDescent="0.25">
      <c r="A360" s="104" t="s">
        <v>8</v>
      </c>
      <c r="B360" s="162"/>
      <c r="C360" s="4">
        <v>23</v>
      </c>
      <c r="D360" s="78">
        <f>IF('15'!E27="","",'15'!E27)</f>
        <v>46227</v>
      </c>
      <c r="E360" s="76" t="s">
        <v>95</v>
      </c>
      <c r="F360" s="76"/>
      <c r="G360" s="76" t="str">
        <f t="shared" si="5"/>
        <v>Залито</v>
      </c>
    </row>
    <row r="361" spans="1:7" x14ac:dyDescent="0.25">
      <c r="A361" s="104" t="s">
        <v>8</v>
      </c>
      <c r="B361" s="163"/>
      <c r="C361" s="4">
        <v>24</v>
      </c>
      <c r="D361" s="78">
        <f>IF('15'!E28="","",'15'!E28)</f>
        <v>46226</v>
      </c>
      <c r="E361" s="76" t="s">
        <v>95</v>
      </c>
      <c r="F361" s="76"/>
      <c r="G361" s="76" t="str">
        <f t="shared" si="5"/>
        <v>Залито</v>
      </c>
    </row>
    <row r="362" spans="1:7" x14ac:dyDescent="0.25">
      <c r="A362" s="105" t="s">
        <v>26</v>
      </c>
      <c r="B362" s="161" t="s">
        <v>26</v>
      </c>
      <c r="C362" s="4">
        <v>1</v>
      </c>
      <c r="D362" s="78">
        <f>IF('16'!E5="","",'16'!E5)</f>
        <v>46239</v>
      </c>
      <c r="E362" s="76" t="s">
        <v>95</v>
      </c>
      <c r="F362" s="76"/>
      <c r="G362" s="76" t="str">
        <f t="shared" si="5"/>
        <v>Залито</v>
      </c>
    </row>
    <row r="363" spans="1:7" x14ac:dyDescent="0.25">
      <c r="A363" s="105" t="s">
        <v>26</v>
      </c>
      <c r="B363" s="162"/>
      <c r="C363" s="4">
        <v>2</v>
      </c>
      <c r="D363" s="78">
        <f>IF('16'!E6="","",'16'!E6)</f>
        <v>46240</v>
      </c>
      <c r="E363" s="76" t="s">
        <v>95</v>
      </c>
      <c r="F363" s="76"/>
      <c r="G363" s="76" t="str">
        <f t="shared" si="5"/>
        <v>Залито</v>
      </c>
    </row>
    <row r="364" spans="1:7" x14ac:dyDescent="0.25">
      <c r="A364" s="105" t="s">
        <v>26</v>
      </c>
      <c r="B364" s="162"/>
      <c r="C364" s="4">
        <v>3</v>
      </c>
      <c r="D364" s="78">
        <f>IF('16'!E7="","",'16'!E7)</f>
        <v>46239</v>
      </c>
      <c r="E364" s="76" t="s">
        <v>95</v>
      </c>
      <c r="F364" s="76"/>
      <c r="G364" s="76" t="str">
        <f t="shared" si="5"/>
        <v>Залито</v>
      </c>
    </row>
    <row r="365" spans="1:7" x14ac:dyDescent="0.25">
      <c r="A365" s="105" t="s">
        <v>26</v>
      </c>
      <c r="B365" s="162"/>
      <c r="C365" s="4">
        <v>4</v>
      </c>
      <c r="D365" s="78">
        <f>IF('16'!E8="","",'16'!E8)</f>
        <v>46238</v>
      </c>
      <c r="E365" s="76" t="s">
        <v>95</v>
      </c>
      <c r="F365" s="76"/>
      <c r="G365" s="76" t="str">
        <f t="shared" si="5"/>
        <v>Залито</v>
      </c>
    </row>
    <row r="366" spans="1:7" x14ac:dyDescent="0.25">
      <c r="A366" s="105" t="s">
        <v>26</v>
      </c>
      <c r="B366" s="162"/>
      <c r="C366" s="4">
        <v>5</v>
      </c>
      <c r="D366" s="78">
        <f>IF('16'!E9="","",'16'!E9)</f>
        <v>46237</v>
      </c>
      <c r="E366" s="76" t="s">
        <v>95</v>
      </c>
      <c r="F366" s="76"/>
      <c r="G366" s="76" t="str">
        <f t="shared" si="5"/>
        <v>Залито</v>
      </c>
    </row>
    <row r="367" spans="1:7" x14ac:dyDescent="0.25">
      <c r="A367" s="105" t="s">
        <v>26</v>
      </c>
      <c r="B367" s="162"/>
      <c r="C367" s="4">
        <v>6</v>
      </c>
      <c r="D367" s="78">
        <f>IF('16'!E10="","",'16'!E10)</f>
        <v>46239</v>
      </c>
      <c r="E367" s="76" t="s">
        <v>95</v>
      </c>
      <c r="F367" s="76"/>
      <c r="G367" s="76" t="str">
        <f t="shared" si="5"/>
        <v>Залито</v>
      </c>
    </row>
    <row r="368" spans="1:7" x14ac:dyDescent="0.25">
      <c r="A368" s="105" t="s">
        <v>26</v>
      </c>
      <c r="B368" s="162"/>
      <c r="C368" s="4">
        <v>7</v>
      </c>
      <c r="D368" s="78">
        <f>IF('16'!E11="","",'16'!E11)</f>
        <v>46237</v>
      </c>
      <c r="E368" s="76" t="s">
        <v>95</v>
      </c>
      <c r="F368" s="76"/>
      <c r="G368" s="76" t="str">
        <f t="shared" si="5"/>
        <v>Залито</v>
      </c>
    </row>
    <row r="369" spans="1:7" x14ac:dyDescent="0.25">
      <c r="A369" s="105" t="s">
        <v>26</v>
      </c>
      <c r="B369" s="162"/>
      <c r="C369" s="4">
        <v>8</v>
      </c>
      <c r="D369" s="78">
        <f>IF('16'!E12="","",'16'!E12)</f>
        <v>46238</v>
      </c>
      <c r="E369" s="76" t="s">
        <v>95</v>
      </c>
      <c r="F369" s="76"/>
      <c r="G369" s="76" t="str">
        <f t="shared" si="5"/>
        <v>Залито</v>
      </c>
    </row>
    <row r="370" spans="1:7" x14ac:dyDescent="0.25">
      <c r="A370" s="105" t="s">
        <v>26</v>
      </c>
      <c r="B370" s="162"/>
      <c r="C370" s="4">
        <v>9</v>
      </c>
      <c r="D370" s="78">
        <f>IF('16'!E13="","",'16'!E13)</f>
        <v>46236</v>
      </c>
      <c r="E370" s="76" t="s">
        <v>95</v>
      </c>
      <c r="F370" s="76"/>
      <c r="G370" s="76" t="str">
        <f t="shared" si="5"/>
        <v>Залито</v>
      </c>
    </row>
    <row r="371" spans="1:7" x14ac:dyDescent="0.25">
      <c r="A371" s="105" t="s">
        <v>26</v>
      </c>
      <c r="B371" s="162"/>
      <c r="C371" s="4">
        <v>10</v>
      </c>
      <c r="D371" s="78">
        <f>IF('16'!E14="","",'16'!E14)</f>
        <v>46232</v>
      </c>
      <c r="E371" s="76" t="s">
        <v>95</v>
      </c>
      <c r="F371" s="76"/>
      <c r="G371" s="76" t="str">
        <f t="shared" si="5"/>
        <v>Залито</v>
      </c>
    </row>
    <row r="372" spans="1:7" x14ac:dyDescent="0.25">
      <c r="A372" s="105" t="s">
        <v>26</v>
      </c>
      <c r="B372" s="162"/>
      <c r="C372" s="4">
        <v>11</v>
      </c>
      <c r="D372" s="78">
        <f>IF('16'!E15="","",'16'!E15)</f>
        <v>46231</v>
      </c>
      <c r="E372" s="76" t="s">
        <v>95</v>
      </c>
      <c r="F372" s="76"/>
      <c r="G372" s="76" t="str">
        <f t="shared" si="5"/>
        <v>Залито</v>
      </c>
    </row>
    <row r="373" spans="1:7" x14ac:dyDescent="0.25">
      <c r="A373" s="105" t="s">
        <v>26</v>
      </c>
      <c r="B373" s="162"/>
      <c r="C373" s="4">
        <v>12</v>
      </c>
      <c r="D373" s="78">
        <f>IF('16'!E16="","",'16'!E16)</f>
        <v>46234</v>
      </c>
      <c r="E373" s="76" t="s">
        <v>95</v>
      </c>
      <c r="F373" s="76"/>
      <c r="G373" s="76" t="str">
        <f t="shared" si="5"/>
        <v>Залито</v>
      </c>
    </row>
    <row r="374" spans="1:7" x14ac:dyDescent="0.25">
      <c r="A374" s="105" t="s">
        <v>26</v>
      </c>
      <c r="B374" s="162"/>
      <c r="C374" s="4">
        <v>13</v>
      </c>
      <c r="D374" s="78">
        <f>IF('16'!E17="","",'16'!E17)</f>
        <v>46230</v>
      </c>
      <c r="E374" s="76" t="s">
        <v>95</v>
      </c>
      <c r="F374" s="76"/>
      <c r="G374" s="76" t="str">
        <f t="shared" si="5"/>
        <v>Залито</v>
      </c>
    </row>
    <row r="375" spans="1:7" x14ac:dyDescent="0.25">
      <c r="A375" s="105" t="s">
        <v>26</v>
      </c>
      <c r="B375" s="162"/>
      <c r="C375" s="4">
        <v>14</v>
      </c>
      <c r="D375" s="78">
        <f>IF('16'!E18="","",'16'!E18)</f>
        <v>46231</v>
      </c>
      <c r="E375" s="76" t="s">
        <v>95</v>
      </c>
      <c r="F375" s="76"/>
      <c r="G375" s="76" t="str">
        <f t="shared" si="5"/>
        <v>Залито</v>
      </c>
    </row>
    <row r="376" spans="1:7" x14ac:dyDescent="0.25">
      <c r="A376" s="105" t="s">
        <v>26</v>
      </c>
      <c r="B376" s="162"/>
      <c r="C376" s="4">
        <v>15</v>
      </c>
      <c r="D376" s="78">
        <f>IF('16'!E19="","",'16'!E19)</f>
        <v>46230</v>
      </c>
      <c r="E376" s="76" t="s">
        <v>95</v>
      </c>
      <c r="F376" s="76"/>
      <c r="G376" s="76" t="str">
        <f t="shared" si="5"/>
        <v>Залито</v>
      </c>
    </row>
    <row r="377" spans="1:7" x14ac:dyDescent="0.25">
      <c r="A377" s="105" t="s">
        <v>26</v>
      </c>
      <c r="B377" s="162"/>
      <c r="C377" s="4">
        <v>16</v>
      </c>
      <c r="D377" s="78">
        <f>IF('16'!E20="","",'16'!E20)</f>
        <v>46232</v>
      </c>
      <c r="E377" s="76" t="s">
        <v>95</v>
      </c>
      <c r="F377" s="76"/>
      <c r="G377" s="76" t="str">
        <f t="shared" si="5"/>
        <v>Залито</v>
      </c>
    </row>
    <row r="378" spans="1:7" x14ac:dyDescent="0.25">
      <c r="A378" s="105" t="s">
        <v>26</v>
      </c>
      <c r="B378" s="162"/>
      <c r="C378" s="4">
        <v>17</v>
      </c>
      <c r="D378" s="78">
        <f>IF('16'!E21="","",'16'!E21)</f>
        <v>46233</v>
      </c>
      <c r="E378" s="76" t="s">
        <v>95</v>
      </c>
      <c r="F378" s="76"/>
      <c r="G378" s="76" t="str">
        <f t="shared" si="5"/>
        <v>Залито</v>
      </c>
    </row>
    <row r="379" spans="1:7" x14ac:dyDescent="0.25">
      <c r="A379" s="105" t="s">
        <v>26</v>
      </c>
      <c r="B379" s="162"/>
      <c r="C379" s="4">
        <v>18</v>
      </c>
      <c r="D379" s="78">
        <f>IF('16'!E22="","",'16'!E22)</f>
        <v>46235</v>
      </c>
      <c r="E379" s="76" t="s">
        <v>95</v>
      </c>
      <c r="F379" s="76"/>
      <c r="G379" s="76" t="str">
        <f t="shared" si="5"/>
        <v>Залито</v>
      </c>
    </row>
    <row r="380" spans="1:7" x14ac:dyDescent="0.25">
      <c r="A380" s="105" t="s">
        <v>26</v>
      </c>
      <c r="B380" s="162"/>
      <c r="C380" s="4">
        <v>19</v>
      </c>
      <c r="D380" s="78">
        <f>IF('16'!E23="","",'16'!E23)</f>
        <v>46233</v>
      </c>
      <c r="E380" s="76" t="s">
        <v>95</v>
      </c>
      <c r="F380" s="76"/>
      <c r="G380" s="76" t="str">
        <f t="shared" si="5"/>
        <v>Залито</v>
      </c>
    </row>
    <row r="381" spans="1:7" x14ac:dyDescent="0.25">
      <c r="A381" s="105" t="s">
        <v>26</v>
      </c>
      <c r="B381" s="162"/>
      <c r="C381" s="4">
        <v>20</v>
      </c>
      <c r="D381" s="78">
        <f>IF('16'!E24="","",'16'!E24)</f>
        <v>46235</v>
      </c>
      <c r="E381" s="76" t="s">
        <v>95</v>
      </c>
      <c r="F381" s="76"/>
      <c r="G381" s="76" t="str">
        <f t="shared" si="5"/>
        <v>Залито</v>
      </c>
    </row>
    <row r="382" spans="1:7" x14ac:dyDescent="0.25">
      <c r="A382" s="105" t="s">
        <v>26</v>
      </c>
      <c r="B382" s="162"/>
      <c r="C382" s="4">
        <v>21</v>
      </c>
      <c r="D382" s="78">
        <f>IF('16'!E25="","",'16'!E25)</f>
        <v>46234</v>
      </c>
      <c r="E382" s="76" t="s">
        <v>95</v>
      </c>
      <c r="F382" s="76"/>
      <c r="G382" s="76" t="str">
        <f t="shared" si="5"/>
        <v>Залито</v>
      </c>
    </row>
    <row r="383" spans="1:7" x14ac:dyDescent="0.25">
      <c r="A383" s="105" t="s">
        <v>26</v>
      </c>
      <c r="B383" s="162"/>
      <c r="C383" s="4">
        <v>22</v>
      </c>
      <c r="D383" s="78">
        <f>IF('16'!E26="","",'16'!E26)</f>
        <v>46236</v>
      </c>
      <c r="E383" s="76" t="s">
        <v>95</v>
      </c>
      <c r="F383" s="76"/>
      <c r="G383" s="76" t="str">
        <f t="shared" si="5"/>
        <v>Залито</v>
      </c>
    </row>
    <row r="384" spans="1:7" x14ac:dyDescent="0.25">
      <c r="A384" s="105" t="s">
        <v>26</v>
      </c>
      <c r="B384" s="162"/>
      <c r="C384" s="4">
        <v>23</v>
      </c>
      <c r="D384" s="78">
        <f>IF('16'!E27="","",'16'!E27)</f>
        <v>46236</v>
      </c>
      <c r="E384" s="76" t="s">
        <v>95</v>
      </c>
      <c r="F384" s="76"/>
      <c r="G384" s="76" t="str">
        <f t="shared" si="5"/>
        <v>Залито</v>
      </c>
    </row>
    <row r="385" spans="1:7" x14ac:dyDescent="0.25">
      <c r="A385" s="105" t="s">
        <v>26</v>
      </c>
      <c r="B385" s="163"/>
      <c r="C385" s="4">
        <v>24</v>
      </c>
      <c r="D385" s="78">
        <f>IF('16'!E28="","",'16'!E28)</f>
        <v>46238</v>
      </c>
      <c r="E385" s="76" t="s">
        <v>95</v>
      </c>
      <c r="F385" s="76"/>
      <c r="G385" s="76" t="str">
        <f t="shared" si="5"/>
        <v>Залито</v>
      </c>
    </row>
    <row r="386" spans="1:7" x14ac:dyDescent="0.25">
      <c r="A386" s="106" t="s">
        <v>81</v>
      </c>
      <c r="B386" s="161" t="s">
        <v>81</v>
      </c>
      <c r="C386" s="4">
        <v>1</v>
      </c>
      <c r="D386" s="78">
        <f>IF('17'!E5="","",'17'!E5)</f>
        <v>46241</v>
      </c>
      <c r="E386" s="76" t="s">
        <v>95</v>
      </c>
      <c r="F386" s="76"/>
      <c r="G386" s="76" t="str">
        <f t="shared" si="5"/>
        <v>Залито</v>
      </c>
    </row>
    <row r="387" spans="1:7" x14ac:dyDescent="0.25">
      <c r="A387" s="106" t="s">
        <v>81</v>
      </c>
      <c r="B387" s="162"/>
      <c r="C387" s="4">
        <v>2</v>
      </c>
      <c r="D387" s="78">
        <f>IF('17'!E6="","",'17'!E6)</f>
        <v>46231</v>
      </c>
      <c r="E387" s="76" t="s">
        <v>95</v>
      </c>
      <c r="F387" s="76"/>
      <c r="G387" s="76" t="str">
        <f t="shared" ref="G387:G450" si="6">IF(OR(D387="", D387=0, ISBLANK(D387)), "Не залито", "Залито")</f>
        <v>Залито</v>
      </c>
    </row>
    <row r="388" spans="1:7" x14ac:dyDescent="0.25">
      <c r="A388" s="106" t="s">
        <v>81</v>
      </c>
      <c r="B388" s="162"/>
      <c r="C388" s="4">
        <v>3</v>
      </c>
      <c r="D388" s="78">
        <f>IF('17'!E7="","",'17'!E7)</f>
        <v>46233</v>
      </c>
      <c r="E388" s="76" t="s">
        <v>95</v>
      </c>
      <c r="F388" s="76"/>
      <c r="G388" s="76" t="str">
        <f t="shared" si="6"/>
        <v>Залито</v>
      </c>
    </row>
    <row r="389" spans="1:7" x14ac:dyDescent="0.25">
      <c r="A389" s="106" t="s">
        <v>81</v>
      </c>
      <c r="B389" s="162"/>
      <c r="C389" s="4">
        <v>4</v>
      </c>
      <c r="D389" s="78">
        <f>IF('17'!E8="","",'17'!E8)</f>
        <v>46232</v>
      </c>
      <c r="E389" s="76" t="s">
        <v>95</v>
      </c>
      <c r="F389" s="76"/>
      <c r="G389" s="76" t="str">
        <f t="shared" si="6"/>
        <v>Залито</v>
      </c>
    </row>
    <row r="390" spans="1:7" x14ac:dyDescent="0.25">
      <c r="A390" s="106" t="s">
        <v>81</v>
      </c>
      <c r="B390" s="162"/>
      <c r="C390" s="4">
        <v>5</v>
      </c>
      <c r="D390" s="78">
        <f>IF('17'!E9="","",'17'!E9)</f>
        <v>46223</v>
      </c>
      <c r="E390" s="76" t="s">
        <v>95</v>
      </c>
      <c r="F390" s="76"/>
      <c r="G390" s="76" t="str">
        <f t="shared" si="6"/>
        <v>Залито</v>
      </c>
    </row>
    <row r="391" spans="1:7" x14ac:dyDescent="0.25">
      <c r="A391" s="106" t="s">
        <v>81</v>
      </c>
      <c r="B391" s="162"/>
      <c r="C391" s="4">
        <v>6</v>
      </c>
      <c r="D391" s="78">
        <f>IF('17'!E10="","",'17'!E10)</f>
        <v>46237</v>
      </c>
      <c r="E391" s="76" t="s">
        <v>95</v>
      </c>
      <c r="F391" s="76"/>
      <c r="G391" s="76" t="str">
        <f t="shared" si="6"/>
        <v>Залито</v>
      </c>
    </row>
    <row r="392" spans="1:7" x14ac:dyDescent="0.25">
      <c r="A392" s="106" t="s">
        <v>81</v>
      </c>
      <c r="B392" s="162"/>
      <c r="C392" s="4">
        <v>7</v>
      </c>
      <c r="D392" s="78">
        <f>IF('17'!E11="","",'17'!E11)</f>
        <v>46235</v>
      </c>
      <c r="E392" s="76" t="s">
        <v>95</v>
      </c>
      <c r="F392" s="76"/>
      <c r="G392" s="76" t="str">
        <f t="shared" si="6"/>
        <v>Залито</v>
      </c>
    </row>
    <row r="393" spans="1:7" x14ac:dyDescent="0.25">
      <c r="A393" s="106" t="s">
        <v>81</v>
      </c>
      <c r="B393" s="162"/>
      <c r="C393" s="4">
        <v>8</v>
      </c>
      <c r="D393" s="78">
        <f>IF('17'!E12="","",'17'!E12)</f>
        <v>46238</v>
      </c>
      <c r="E393" s="76" t="s">
        <v>95</v>
      </c>
      <c r="F393" s="76"/>
      <c r="G393" s="76" t="str">
        <f t="shared" si="6"/>
        <v>Залито</v>
      </c>
    </row>
    <row r="394" spans="1:7" x14ac:dyDescent="0.25">
      <c r="A394" s="106" t="s">
        <v>81</v>
      </c>
      <c r="B394" s="162"/>
      <c r="C394" s="4">
        <v>9</v>
      </c>
      <c r="D394" s="78">
        <f>IF('17'!E13="","",'17'!E13)</f>
        <v>46236</v>
      </c>
      <c r="E394" s="76" t="s">
        <v>95</v>
      </c>
      <c r="F394" s="76"/>
      <c r="G394" s="76" t="str">
        <f t="shared" si="6"/>
        <v>Залито</v>
      </c>
    </row>
    <row r="395" spans="1:7" x14ac:dyDescent="0.25">
      <c r="A395" s="106" t="s">
        <v>81</v>
      </c>
      <c r="B395" s="162"/>
      <c r="C395" s="4">
        <v>10</v>
      </c>
      <c r="D395" s="78">
        <f>IF('17'!E14="","",'17'!E14)</f>
        <v>46234</v>
      </c>
      <c r="E395" s="76" t="s">
        <v>95</v>
      </c>
      <c r="F395" s="76"/>
      <c r="G395" s="76" t="str">
        <f t="shared" si="6"/>
        <v>Залито</v>
      </c>
    </row>
    <row r="396" spans="1:7" x14ac:dyDescent="0.25">
      <c r="A396" s="106" t="s">
        <v>81</v>
      </c>
      <c r="B396" s="162"/>
      <c r="C396" s="4">
        <v>11</v>
      </c>
      <c r="D396" s="78">
        <f>IF('17'!E15="","",'17'!E15)</f>
        <v>46224</v>
      </c>
      <c r="E396" s="76" t="s">
        <v>95</v>
      </c>
      <c r="F396" s="76"/>
      <c r="G396" s="76" t="str">
        <f t="shared" si="6"/>
        <v>Залито</v>
      </c>
    </row>
    <row r="397" spans="1:7" x14ac:dyDescent="0.25">
      <c r="A397" s="106" t="s">
        <v>81</v>
      </c>
      <c r="B397" s="162"/>
      <c r="C397" s="4">
        <v>12</v>
      </c>
      <c r="D397" s="78">
        <f>IF('17'!E16="","",'17'!E16)</f>
        <v>46228</v>
      </c>
      <c r="E397" s="76" t="s">
        <v>95</v>
      </c>
      <c r="F397" s="76"/>
      <c r="G397" s="76" t="str">
        <f t="shared" si="6"/>
        <v>Залито</v>
      </c>
    </row>
    <row r="398" spans="1:7" x14ac:dyDescent="0.25">
      <c r="A398" s="106" t="s">
        <v>81</v>
      </c>
      <c r="B398" s="162"/>
      <c r="C398" s="4">
        <v>13</v>
      </c>
      <c r="D398" s="78">
        <f>IF('17'!E17="","",'17'!E17)</f>
        <v>46219</v>
      </c>
      <c r="E398" s="76" t="s">
        <v>95</v>
      </c>
      <c r="F398" s="76"/>
      <c r="G398" s="76" t="str">
        <f t="shared" si="6"/>
        <v>Залито</v>
      </c>
    </row>
    <row r="399" spans="1:7" x14ac:dyDescent="0.25">
      <c r="A399" s="106" t="s">
        <v>81</v>
      </c>
      <c r="B399" s="162"/>
      <c r="C399" s="4">
        <v>14</v>
      </c>
      <c r="D399" s="78">
        <f>IF('17'!E18="","",'17'!E18)</f>
        <v>46230</v>
      </c>
      <c r="E399" s="76" t="s">
        <v>95</v>
      </c>
      <c r="F399" s="76"/>
      <c r="G399" s="76" t="str">
        <f t="shared" si="6"/>
        <v>Залито</v>
      </c>
    </row>
    <row r="400" spans="1:7" x14ac:dyDescent="0.25">
      <c r="A400" s="106" t="s">
        <v>81</v>
      </c>
      <c r="B400" s="162"/>
      <c r="C400" s="4">
        <v>15</v>
      </c>
      <c r="D400" s="78">
        <f>IF('17'!E19="","",'17'!E19)</f>
        <v>46228</v>
      </c>
      <c r="E400" s="76" t="s">
        <v>95</v>
      </c>
      <c r="F400" s="76"/>
      <c r="G400" s="76" t="str">
        <f t="shared" si="6"/>
        <v>Залито</v>
      </c>
    </row>
    <row r="401" spans="1:7" x14ac:dyDescent="0.25">
      <c r="A401" s="106" t="s">
        <v>81</v>
      </c>
      <c r="B401" s="162"/>
      <c r="C401" s="4">
        <v>16</v>
      </c>
      <c r="D401" s="78">
        <f>IF('17'!E20="","",'17'!E20)</f>
        <v>46229</v>
      </c>
      <c r="E401" s="76" t="s">
        <v>95</v>
      </c>
      <c r="F401" s="76"/>
      <c r="G401" s="76" t="str">
        <f t="shared" si="6"/>
        <v>Залито</v>
      </c>
    </row>
    <row r="402" spans="1:7" x14ac:dyDescent="0.25">
      <c r="A402" s="106" t="s">
        <v>81</v>
      </c>
      <c r="B402" s="162"/>
      <c r="C402" s="4">
        <v>17</v>
      </c>
      <c r="D402" s="78">
        <f>IF('17'!E21="","",'17'!E21)</f>
        <v>46232</v>
      </c>
      <c r="E402" s="76" t="s">
        <v>95</v>
      </c>
      <c r="F402" s="76"/>
      <c r="G402" s="76" t="str">
        <f t="shared" si="6"/>
        <v>Залито</v>
      </c>
    </row>
    <row r="403" spans="1:7" x14ac:dyDescent="0.25">
      <c r="A403" s="106" t="s">
        <v>81</v>
      </c>
      <c r="B403" s="162"/>
      <c r="C403" s="4">
        <v>18</v>
      </c>
      <c r="D403" s="78">
        <f>IF('17'!E22="","",'17'!E22)</f>
        <v>46229</v>
      </c>
      <c r="E403" s="76" t="s">
        <v>95</v>
      </c>
      <c r="F403" s="76"/>
      <c r="G403" s="76" t="str">
        <f t="shared" si="6"/>
        <v>Залито</v>
      </c>
    </row>
    <row r="404" spans="1:7" x14ac:dyDescent="0.25">
      <c r="A404" s="106" t="s">
        <v>81</v>
      </c>
      <c r="B404" s="162"/>
      <c r="C404" s="4">
        <v>19</v>
      </c>
      <c r="D404" s="78">
        <f>IF('17'!E23="","",'17'!E23)</f>
        <v>46230</v>
      </c>
      <c r="E404" s="76" t="s">
        <v>95</v>
      </c>
      <c r="F404" s="76"/>
      <c r="G404" s="76" t="str">
        <f t="shared" si="6"/>
        <v>Залито</v>
      </c>
    </row>
    <row r="405" spans="1:7" x14ac:dyDescent="0.25">
      <c r="A405" s="106" t="s">
        <v>81</v>
      </c>
      <c r="B405" s="162"/>
      <c r="C405" s="4">
        <v>20</v>
      </c>
      <c r="D405" s="78">
        <f>IF('17'!E24="","",'17'!E24)</f>
        <v>46231</v>
      </c>
      <c r="E405" s="76" t="s">
        <v>95</v>
      </c>
      <c r="F405" s="76"/>
      <c r="G405" s="76" t="str">
        <f t="shared" si="6"/>
        <v>Залито</v>
      </c>
    </row>
    <row r="406" spans="1:7" x14ac:dyDescent="0.25">
      <c r="A406" s="106" t="s">
        <v>81</v>
      </c>
      <c r="B406" s="162"/>
      <c r="C406" s="4">
        <v>21</v>
      </c>
      <c r="D406" s="78">
        <f>IF('17'!E25="","",'17'!E25)</f>
        <v>46233</v>
      </c>
      <c r="E406" s="76" t="s">
        <v>95</v>
      </c>
      <c r="F406" s="76"/>
      <c r="G406" s="76" t="str">
        <f t="shared" si="6"/>
        <v>Залито</v>
      </c>
    </row>
    <row r="407" spans="1:7" x14ac:dyDescent="0.25">
      <c r="A407" s="106" t="s">
        <v>81</v>
      </c>
      <c r="B407" s="162"/>
      <c r="C407" s="4">
        <v>22</v>
      </c>
      <c r="D407" s="78">
        <f>IF('17'!E26="","",'17'!E26)</f>
        <v>46234</v>
      </c>
      <c r="E407" s="76" t="s">
        <v>95</v>
      </c>
      <c r="F407" s="76"/>
      <c r="G407" s="76" t="str">
        <f t="shared" si="6"/>
        <v>Залито</v>
      </c>
    </row>
    <row r="408" spans="1:7" x14ac:dyDescent="0.25">
      <c r="A408" s="106" t="s">
        <v>81</v>
      </c>
      <c r="B408" s="162"/>
      <c r="C408" s="4">
        <v>23</v>
      </c>
      <c r="D408" s="78">
        <f>IF('17'!E27="","",'17'!E27)</f>
        <v>46236</v>
      </c>
      <c r="E408" s="76" t="s">
        <v>95</v>
      </c>
      <c r="F408" s="76"/>
      <c r="G408" s="76" t="str">
        <f t="shared" si="6"/>
        <v>Залито</v>
      </c>
    </row>
    <row r="409" spans="1:7" x14ac:dyDescent="0.25">
      <c r="A409" s="106" t="s">
        <v>81</v>
      </c>
      <c r="B409" s="163"/>
      <c r="C409" s="4">
        <v>24</v>
      </c>
      <c r="D409" s="78">
        <f>IF('17'!E28="","",'17'!E28)</f>
        <v>46237</v>
      </c>
      <c r="E409" s="76" t="s">
        <v>95</v>
      </c>
      <c r="F409" s="76"/>
      <c r="G409" s="76" t="str">
        <f t="shared" si="6"/>
        <v>Залито</v>
      </c>
    </row>
    <row r="410" spans="1:7" x14ac:dyDescent="0.25">
      <c r="A410" s="107" t="s">
        <v>9</v>
      </c>
      <c r="B410" s="161" t="s">
        <v>9</v>
      </c>
      <c r="C410" s="4">
        <v>1</v>
      </c>
      <c r="D410" s="78">
        <f>IF('18'!E5="","",'18'!E5)</f>
        <v>46240</v>
      </c>
      <c r="E410" s="76" t="s">
        <v>95</v>
      </c>
      <c r="F410" s="76"/>
      <c r="G410" s="76" t="str">
        <f t="shared" si="6"/>
        <v>Залито</v>
      </c>
    </row>
    <row r="411" spans="1:7" x14ac:dyDescent="0.25">
      <c r="A411" s="107" t="s">
        <v>9</v>
      </c>
      <c r="B411" s="162"/>
      <c r="C411" s="4">
        <v>2</v>
      </c>
      <c r="D411" s="78">
        <f>IF('18'!E6="","",'18'!E6)</f>
        <v>46244</v>
      </c>
      <c r="E411" s="76" t="s">
        <v>95</v>
      </c>
      <c r="F411" s="76"/>
      <c r="G411" s="76" t="str">
        <f t="shared" si="6"/>
        <v>Залито</v>
      </c>
    </row>
    <row r="412" spans="1:7" x14ac:dyDescent="0.25">
      <c r="A412" s="107" t="s">
        <v>9</v>
      </c>
      <c r="B412" s="162"/>
      <c r="C412" s="4">
        <v>3</v>
      </c>
      <c r="D412" s="78">
        <f>IF('18'!E7="","",'18'!E7)</f>
        <v>46247</v>
      </c>
      <c r="E412" s="76" t="s">
        <v>95</v>
      </c>
      <c r="F412" s="76"/>
      <c r="G412" s="76" t="str">
        <f t="shared" si="6"/>
        <v>Залито</v>
      </c>
    </row>
    <row r="413" spans="1:7" x14ac:dyDescent="0.25">
      <c r="A413" s="107" t="s">
        <v>9</v>
      </c>
      <c r="B413" s="162"/>
      <c r="C413" s="4">
        <v>4</v>
      </c>
      <c r="D413" s="78">
        <f>IF('18'!E8="","",'18'!E8)</f>
        <v>46245</v>
      </c>
      <c r="E413" s="76" t="s">
        <v>95</v>
      </c>
      <c r="F413" s="76"/>
      <c r="G413" s="76" t="str">
        <f t="shared" si="6"/>
        <v>Залито</v>
      </c>
    </row>
    <row r="414" spans="1:7" x14ac:dyDescent="0.25">
      <c r="A414" s="107" t="s">
        <v>9</v>
      </c>
      <c r="B414" s="162"/>
      <c r="C414" s="4">
        <v>5</v>
      </c>
      <c r="D414" s="78">
        <f>IF('18'!E9="","",'18'!E9)</f>
        <v>46248</v>
      </c>
      <c r="E414" s="76" t="s">
        <v>95</v>
      </c>
      <c r="F414" s="76"/>
      <c r="G414" s="76" t="str">
        <f t="shared" si="6"/>
        <v>Залито</v>
      </c>
    </row>
    <row r="415" spans="1:7" x14ac:dyDescent="0.25">
      <c r="A415" s="107" t="s">
        <v>9</v>
      </c>
      <c r="B415" s="162"/>
      <c r="C415" s="4">
        <v>6</v>
      </c>
      <c r="D415" s="78">
        <f>IF('18'!E10="","",'18'!E10)</f>
        <v>46247</v>
      </c>
      <c r="E415" s="76" t="s">
        <v>95</v>
      </c>
      <c r="F415" s="76"/>
      <c r="G415" s="76" t="str">
        <f t="shared" si="6"/>
        <v>Залито</v>
      </c>
    </row>
    <row r="416" spans="1:7" x14ac:dyDescent="0.25">
      <c r="A416" s="107" t="s">
        <v>9</v>
      </c>
      <c r="B416" s="162"/>
      <c r="C416" s="4">
        <v>7</v>
      </c>
      <c r="D416" s="78">
        <f>IF('18'!E11="","",'18'!E11)</f>
        <v>46248</v>
      </c>
      <c r="E416" s="76" t="s">
        <v>95</v>
      </c>
      <c r="F416" s="76"/>
      <c r="G416" s="76" t="str">
        <f t="shared" si="6"/>
        <v>Залито</v>
      </c>
    </row>
    <row r="417" spans="1:7" x14ac:dyDescent="0.25">
      <c r="A417" s="107" t="s">
        <v>9</v>
      </c>
      <c r="B417" s="162"/>
      <c r="C417" s="4">
        <v>8</v>
      </c>
      <c r="D417" s="78">
        <f>IF('18'!E12="","",'18'!E12)</f>
        <v>46246</v>
      </c>
      <c r="E417" s="76" t="s">
        <v>95</v>
      </c>
      <c r="F417" s="76"/>
      <c r="G417" s="76" t="str">
        <f t="shared" si="6"/>
        <v>Залито</v>
      </c>
    </row>
    <row r="418" spans="1:7" x14ac:dyDescent="0.25">
      <c r="A418" s="107" t="s">
        <v>9</v>
      </c>
      <c r="B418" s="162"/>
      <c r="C418" s="4">
        <v>9</v>
      </c>
      <c r="D418" s="78">
        <f>IF('18'!E13="","",'18'!E13)</f>
        <v>46245</v>
      </c>
      <c r="E418" s="76" t="s">
        <v>95</v>
      </c>
      <c r="F418" s="76"/>
      <c r="G418" s="76" t="str">
        <f t="shared" si="6"/>
        <v>Залито</v>
      </c>
    </row>
    <row r="419" spans="1:7" x14ac:dyDescent="0.25">
      <c r="A419" s="107" t="s">
        <v>9</v>
      </c>
      <c r="B419" s="162"/>
      <c r="C419" s="4">
        <v>10</v>
      </c>
      <c r="D419" s="78">
        <f>IF('18'!E14="","",'18'!E14)</f>
        <v>46247</v>
      </c>
      <c r="E419" s="76" t="s">
        <v>95</v>
      </c>
      <c r="F419" s="76"/>
      <c r="G419" s="76" t="str">
        <f t="shared" si="6"/>
        <v>Залито</v>
      </c>
    </row>
    <row r="420" spans="1:7" x14ac:dyDescent="0.25">
      <c r="A420" s="107" t="s">
        <v>9</v>
      </c>
      <c r="B420" s="162"/>
      <c r="C420" s="4">
        <v>11</v>
      </c>
      <c r="D420" s="78">
        <f>IF('18'!E15="","",'18'!E15)</f>
        <v>46243</v>
      </c>
      <c r="E420" s="76" t="s">
        <v>95</v>
      </c>
      <c r="F420" s="76"/>
      <c r="G420" s="76" t="str">
        <f t="shared" si="6"/>
        <v>Залито</v>
      </c>
    </row>
    <row r="421" spans="1:7" x14ac:dyDescent="0.25">
      <c r="A421" s="107" t="s">
        <v>9</v>
      </c>
      <c r="B421" s="162"/>
      <c r="C421" s="4">
        <v>12</v>
      </c>
      <c r="D421" s="78">
        <f>IF('18'!E16="","",'18'!E16)</f>
        <v>46242</v>
      </c>
      <c r="E421" s="76" t="s">
        <v>95</v>
      </c>
      <c r="F421" s="76"/>
      <c r="G421" s="76" t="str">
        <f t="shared" si="6"/>
        <v>Залито</v>
      </c>
    </row>
    <row r="422" spans="1:7" x14ac:dyDescent="0.25">
      <c r="A422" s="107" t="s">
        <v>9</v>
      </c>
      <c r="B422" s="162"/>
      <c r="C422" s="4">
        <v>13</v>
      </c>
      <c r="D422" s="78">
        <f>IF('18'!E17="","",'18'!E17)</f>
        <v>46244</v>
      </c>
      <c r="E422" s="76" t="s">
        <v>95</v>
      </c>
      <c r="F422" s="76"/>
      <c r="G422" s="76" t="str">
        <f t="shared" si="6"/>
        <v>Залито</v>
      </c>
    </row>
    <row r="423" spans="1:7" x14ac:dyDescent="0.25">
      <c r="A423" s="107" t="s">
        <v>9</v>
      </c>
      <c r="B423" s="162"/>
      <c r="C423" s="4">
        <v>14</v>
      </c>
      <c r="D423" s="78">
        <f>IF('18'!E18="","",'18'!E18)</f>
        <v>46241</v>
      </c>
      <c r="E423" s="76" t="s">
        <v>95</v>
      </c>
      <c r="F423" s="76"/>
      <c r="G423" s="76" t="str">
        <f t="shared" si="6"/>
        <v>Залито</v>
      </c>
    </row>
    <row r="424" spans="1:7" x14ac:dyDescent="0.25">
      <c r="A424" s="107" t="s">
        <v>9</v>
      </c>
      <c r="B424" s="162"/>
      <c r="C424" s="4">
        <v>15</v>
      </c>
      <c r="D424" s="78">
        <f>IF('18'!E19="","",'18'!E19)</f>
        <v>46242</v>
      </c>
      <c r="E424" s="76" t="s">
        <v>95</v>
      </c>
      <c r="F424" s="76"/>
      <c r="G424" s="76" t="str">
        <f t="shared" si="6"/>
        <v>Залито</v>
      </c>
    </row>
    <row r="425" spans="1:7" x14ac:dyDescent="0.25">
      <c r="A425" s="107" t="s">
        <v>9</v>
      </c>
      <c r="B425" s="162"/>
      <c r="C425" s="4">
        <v>16</v>
      </c>
      <c r="D425" s="78">
        <f>IF('18'!E20="","",'18'!E20)</f>
        <v>46239</v>
      </c>
      <c r="E425" s="76" t="s">
        <v>95</v>
      </c>
      <c r="F425" s="76"/>
      <c r="G425" s="76" t="str">
        <f t="shared" si="6"/>
        <v>Залито</v>
      </c>
    </row>
    <row r="426" spans="1:7" x14ac:dyDescent="0.25">
      <c r="A426" s="107" t="s">
        <v>9</v>
      </c>
      <c r="B426" s="162"/>
      <c r="C426" s="4">
        <v>17</v>
      </c>
      <c r="D426" s="78">
        <f>IF('18'!E21="","",'18'!E21)</f>
        <v>46243</v>
      </c>
      <c r="E426" s="76" t="s">
        <v>95</v>
      </c>
      <c r="F426" s="76"/>
      <c r="G426" s="76" t="str">
        <f t="shared" si="6"/>
        <v>Залито</v>
      </c>
    </row>
    <row r="427" spans="1:7" x14ac:dyDescent="0.25">
      <c r="A427" s="107" t="s">
        <v>9</v>
      </c>
      <c r="B427" s="162"/>
      <c r="C427" s="4">
        <v>18</v>
      </c>
      <c r="D427" s="78">
        <f>IF('18'!E22="","",'18'!E22)</f>
        <v>46239</v>
      </c>
      <c r="E427" s="76" t="s">
        <v>95</v>
      </c>
      <c r="F427" s="76"/>
      <c r="G427" s="76" t="str">
        <f t="shared" si="6"/>
        <v>Залито</v>
      </c>
    </row>
    <row r="428" spans="1:7" x14ac:dyDescent="0.25">
      <c r="A428" s="107" t="s">
        <v>9</v>
      </c>
      <c r="B428" s="162"/>
      <c r="C428" s="4">
        <v>19</v>
      </c>
      <c r="D428" s="78">
        <f>IF('18'!E23="","",'18'!E23)</f>
        <v>46243</v>
      </c>
      <c r="E428" s="76" t="s">
        <v>95</v>
      </c>
      <c r="F428" s="76"/>
      <c r="G428" s="76" t="str">
        <f t="shared" si="6"/>
        <v>Залито</v>
      </c>
    </row>
    <row r="429" spans="1:7" x14ac:dyDescent="0.25">
      <c r="A429" s="107" t="s">
        <v>9</v>
      </c>
      <c r="B429" s="162"/>
      <c r="C429" s="4">
        <v>20</v>
      </c>
      <c r="D429" s="78">
        <f>IF('18'!E24="","",'18'!E24)</f>
        <v>46236</v>
      </c>
      <c r="E429" s="76" t="s">
        <v>95</v>
      </c>
      <c r="F429" s="76"/>
      <c r="G429" s="76" t="str">
        <f t="shared" si="6"/>
        <v>Залито</v>
      </c>
    </row>
    <row r="430" spans="1:7" x14ac:dyDescent="0.25">
      <c r="A430" s="107" t="s">
        <v>9</v>
      </c>
      <c r="B430" s="162"/>
      <c r="C430" s="4">
        <v>21</v>
      </c>
      <c r="D430" s="78">
        <f>IF('18'!E25="","",'18'!E25)</f>
        <v>46241</v>
      </c>
      <c r="E430" s="76" t="s">
        <v>95</v>
      </c>
      <c r="F430" s="76"/>
      <c r="G430" s="76" t="str">
        <f t="shared" si="6"/>
        <v>Залито</v>
      </c>
    </row>
    <row r="431" spans="1:7" x14ac:dyDescent="0.25">
      <c r="A431" s="107" t="s">
        <v>9</v>
      </c>
      <c r="B431" s="162"/>
      <c r="C431" s="4">
        <v>22</v>
      </c>
      <c r="D431" s="78">
        <f>IF('18'!E26="","",'18'!E26)</f>
        <v>46246</v>
      </c>
      <c r="E431" s="76" t="s">
        <v>95</v>
      </c>
      <c r="F431" s="76"/>
      <c r="G431" s="76" t="str">
        <f t="shared" si="6"/>
        <v>Залито</v>
      </c>
    </row>
    <row r="432" spans="1:7" x14ac:dyDescent="0.25">
      <c r="A432" s="107" t="s">
        <v>9</v>
      </c>
      <c r="B432" s="162"/>
      <c r="C432" s="4">
        <v>23</v>
      </c>
      <c r="D432" s="78">
        <f>IF('18'!E27="","",'18'!E27)</f>
        <v>46244</v>
      </c>
      <c r="E432" s="76" t="s">
        <v>95</v>
      </c>
      <c r="F432" s="76"/>
      <c r="G432" s="76" t="str">
        <f t="shared" si="6"/>
        <v>Залито</v>
      </c>
    </row>
    <row r="433" spans="1:7" x14ac:dyDescent="0.25">
      <c r="A433" s="107" t="s">
        <v>9</v>
      </c>
      <c r="B433" s="163"/>
      <c r="C433" s="4">
        <v>24</v>
      </c>
      <c r="D433" s="78">
        <f>IF('18'!E28="","",'18'!E28)</f>
        <v>46245</v>
      </c>
      <c r="E433" s="76" t="s">
        <v>95</v>
      </c>
      <c r="F433" s="76"/>
      <c r="G433" s="76" t="str">
        <f t="shared" si="6"/>
        <v>Залито</v>
      </c>
    </row>
    <row r="434" spans="1:7" hidden="1" x14ac:dyDescent="0.25">
      <c r="A434" s="108" t="s">
        <v>10</v>
      </c>
      <c r="B434" s="161" t="s">
        <v>10</v>
      </c>
      <c r="C434" s="4">
        <v>1</v>
      </c>
      <c r="D434" s="78" t="str">
        <f>IF('19'!E5="","",'19'!E5)</f>
        <v/>
      </c>
      <c r="E434" s="76" t="s">
        <v>95</v>
      </c>
      <c r="F434" s="76"/>
      <c r="G434" s="76" t="str">
        <f t="shared" si="6"/>
        <v>Не залито</v>
      </c>
    </row>
    <row r="435" spans="1:7" hidden="1" x14ac:dyDescent="0.25">
      <c r="A435" s="108" t="s">
        <v>10</v>
      </c>
      <c r="B435" s="162"/>
      <c r="C435" s="4">
        <v>2</v>
      </c>
      <c r="D435" s="78" t="str">
        <f>IF('19'!E6="","",'19'!E6)</f>
        <v/>
      </c>
      <c r="E435" s="76" t="s">
        <v>95</v>
      </c>
      <c r="F435" s="76"/>
      <c r="G435" s="76" t="str">
        <f t="shared" si="6"/>
        <v>Не залито</v>
      </c>
    </row>
    <row r="436" spans="1:7" hidden="1" x14ac:dyDescent="0.25">
      <c r="A436" s="108" t="s">
        <v>10</v>
      </c>
      <c r="B436" s="162"/>
      <c r="C436" s="4">
        <v>3</v>
      </c>
      <c r="D436" s="78" t="str">
        <f>IF('19'!E7="","",'19'!E7)</f>
        <v/>
      </c>
      <c r="E436" s="76" t="s">
        <v>95</v>
      </c>
      <c r="F436" s="76"/>
      <c r="G436" s="76" t="str">
        <f t="shared" si="6"/>
        <v>Не залито</v>
      </c>
    </row>
    <row r="437" spans="1:7" hidden="1" x14ac:dyDescent="0.25">
      <c r="A437" s="108" t="s">
        <v>10</v>
      </c>
      <c r="B437" s="162"/>
      <c r="C437" s="4">
        <v>4</v>
      </c>
      <c r="D437" s="78" t="str">
        <f>IF('19'!E8="","",'19'!E8)</f>
        <v/>
      </c>
      <c r="E437" s="76" t="s">
        <v>95</v>
      </c>
      <c r="F437" s="76"/>
      <c r="G437" s="76" t="str">
        <f t="shared" si="6"/>
        <v>Не залито</v>
      </c>
    </row>
    <row r="438" spans="1:7" hidden="1" x14ac:dyDescent="0.25">
      <c r="A438" s="108" t="s">
        <v>10</v>
      </c>
      <c r="B438" s="162"/>
      <c r="C438" s="4">
        <v>5</v>
      </c>
      <c r="D438" s="78" t="str">
        <f>IF('19'!E9="","",'19'!E9)</f>
        <v/>
      </c>
      <c r="E438" s="76" t="s">
        <v>95</v>
      </c>
      <c r="F438" s="76"/>
      <c r="G438" s="76" t="str">
        <f t="shared" si="6"/>
        <v>Не залито</v>
      </c>
    </row>
    <row r="439" spans="1:7" hidden="1" x14ac:dyDescent="0.25">
      <c r="A439" s="108" t="s">
        <v>10</v>
      </c>
      <c r="B439" s="162"/>
      <c r="C439" s="4">
        <v>6</v>
      </c>
      <c r="D439" s="78" t="str">
        <f>IF('19'!E10="","",'19'!E10)</f>
        <v/>
      </c>
      <c r="E439" s="76" t="s">
        <v>95</v>
      </c>
      <c r="F439" s="76"/>
      <c r="G439" s="76" t="str">
        <f t="shared" si="6"/>
        <v>Не залито</v>
      </c>
    </row>
    <row r="440" spans="1:7" hidden="1" x14ac:dyDescent="0.25">
      <c r="A440" s="108" t="s">
        <v>10</v>
      </c>
      <c r="B440" s="162"/>
      <c r="C440" s="4">
        <v>7</v>
      </c>
      <c r="D440" s="78" t="str">
        <f>IF('19'!E11="","",'19'!E11)</f>
        <v/>
      </c>
      <c r="E440" s="76" t="s">
        <v>95</v>
      </c>
      <c r="F440" s="76"/>
      <c r="G440" s="76" t="str">
        <f t="shared" si="6"/>
        <v>Не залито</v>
      </c>
    </row>
    <row r="441" spans="1:7" hidden="1" x14ac:dyDescent="0.25">
      <c r="A441" s="108" t="s">
        <v>10</v>
      </c>
      <c r="B441" s="162"/>
      <c r="C441" s="4">
        <v>8</v>
      </c>
      <c r="D441" s="78" t="str">
        <f>IF('19'!E12="","",'19'!E12)</f>
        <v/>
      </c>
      <c r="E441" s="76" t="s">
        <v>95</v>
      </c>
      <c r="F441" s="76"/>
      <c r="G441" s="76" t="str">
        <f t="shared" si="6"/>
        <v>Не залито</v>
      </c>
    </row>
    <row r="442" spans="1:7" hidden="1" x14ac:dyDescent="0.25">
      <c r="A442" s="108" t="s">
        <v>10</v>
      </c>
      <c r="B442" s="162"/>
      <c r="C442" s="4">
        <v>9</v>
      </c>
      <c r="D442" s="78" t="str">
        <f>IF('19'!E13="","",'19'!E13)</f>
        <v/>
      </c>
      <c r="E442" s="76" t="s">
        <v>95</v>
      </c>
      <c r="F442" s="76"/>
      <c r="G442" s="76" t="str">
        <f t="shared" si="6"/>
        <v>Не залито</v>
      </c>
    </row>
    <row r="443" spans="1:7" hidden="1" x14ac:dyDescent="0.25">
      <c r="A443" s="108" t="s">
        <v>10</v>
      </c>
      <c r="B443" s="162"/>
      <c r="C443" s="4">
        <v>10</v>
      </c>
      <c r="D443" s="78" t="str">
        <f>IF('19'!E14="","",'19'!E14)</f>
        <v/>
      </c>
      <c r="E443" s="76" t="s">
        <v>95</v>
      </c>
      <c r="F443" s="76"/>
      <c r="G443" s="76" t="str">
        <f t="shared" si="6"/>
        <v>Не залито</v>
      </c>
    </row>
    <row r="444" spans="1:7" hidden="1" x14ac:dyDescent="0.25">
      <c r="A444" s="108" t="s">
        <v>10</v>
      </c>
      <c r="B444" s="162"/>
      <c r="C444" s="4">
        <v>11</v>
      </c>
      <c r="D444" s="78" t="str">
        <f>IF('19'!E15="","",'19'!E15)</f>
        <v/>
      </c>
      <c r="E444" s="76" t="s">
        <v>95</v>
      </c>
      <c r="F444" s="76"/>
      <c r="G444" s="76" t="str">
        <f t="shared" si="6"/>
        <v>Не залито</v>
      </c>
    </row>
    <row r="445" spans="1:7" hidden="1" x14ac:dyDescent="0.25">
      <c r="A445" s="108" t="s">
        <v>10</v>
      </c>
      <c r="B445" s="162"/>
      <c r="C445" s="4">
        <v>12</v>
      </c>
      <c r="D445" s="78" t="str">
        <f>IF('19'!E16="","",'19'!E16)</f>
        <v/>
      </c>
      <c r="E445" s="76" t="s">
        <v>95</v>
      </c>
      <c r="F445" s="76"/>
      <c r="G445" s="76" t="str">
        <f t="shared" si="6"/>
        <v>Не залито</v>
      </c>
    </row>
    <row r="446" spans="1:7" hidden="1" x14ac:dyDescent="0.25">
      <c r="A446" s="108" t="s">
        <v>10</v>
      </c>
      <c r="B446" s="162"/>
      <c r="C446" s="4">
        <v>13</v>
      </c>
      <c r="D446" s="78" t="str">
        <f>IF('19'!E17="","",'19'!E17)</f>
        <v/>
      </c>
      <c r="E446" s="76" t="s">
        <v>95</v>
      </c>
      <c r="F446" s="76"/>
      <c r="G446" s="76" t="str">
        <f t="shared" si="6"/>
        <v>Не залито</v>
      </c>
    </row>
    <row r="447" spans="1:7" hidden="1" x14ac:dyDescent="0.25">
      <c r="A447" s="108" t="s">
        <v>10</v>
      </c>
      <c r="B447" s="162"/>
      <c r="C447" s="4">
        <v>14</v>
      </c>
      <c r="D447" s="78" t="str">
        <f>IF('19'!E18="","",'19'!E18)</f>
        <v/>
      </c>
      <c r="E447" s="76" t="s">
        <v>95</v>
      </c>
      <c r="F447" s="76"/>
      <c r="G447" s="76" t="str">
        <f t="shared" si="6"/>
        <v>Не залито</v>
      </c>
    </row>
    <row r="448" spans="1:7" hidden="1" x14ac:dyDescent="0.25">
      <c r="A448" s="108" t="s">
        <v>10</v>
      </c>
      <c r="B448" s="162"/>
      <c r="C448" s="4">
        <v>15</v>
      </c>
      <c r="D448" s="78" t="str">
        <f>IF('19'!E19="","",'19'!E19)</f>
        <v/>
      </c>
      <c r="E448" s="76" t="s">
        <v>95</v>
      </c>
      <c r="F448" s="76"/>
      <c r="G448" s="76" t="str">
        <f t="shared" si="6"/>
        <v>Не залито</v>
      </c>
    </row>
    <row r="449" spans="1:7" hidden="1" x14ac:dyDescent="0.25">
      <c r="A449" s="108" t="s">
        <v>10</v>
      </c>
      <c r="B449" s="162"/>
      <c r="C449" s="4">
        <v>16</v>
      </c>
      <c r="D449" s="78" t="str">
        <f>IF('19'!E20="","",'19'!E20)</f>
        <v/>
      </c>
      <c r="E449" s="76" t="s">
        <v>95</v>
      </c>
      <c r="F449" s="76"/>
      <c r="G449" s="76" t="str">
        <f t="shared" si="6"/>
        <v>Не залито</v>
      </c>
    </row>
    <row r="450" spans="1:7" hidden="1" x14ac:dyDescent="0.25">
      <c r="A450" s="108" t="s">
        <v>10</v>
      </c>
      <c r="B450" s="162"/>
      <c r="C450" s="4">
        <v>17</v>
      </c>
      <c r="D450" s="78" t="str">
        <f>IF('19'!E21="","",'19'!E21)</f>
        <v/>
      </c>
      <c r="E450" s="76" t="s">
        <v>95</v>
      </c>
      <c r="F450" s="76"/>
      <c r="G450" s="76" t="str">
        <f t="shared" si="6"/>
        <v>Не залито</v>
      </c>
    </row>
    <row r="451" spans="1:7" hidden="1" x14ac:dyDescent="0.25">
      <c r="A451" s="108" t="s">
        <v>10</v>
      </c>
      <c r="B451" s="162"/>
      <c r="C451" s="4">
        <v>18</v>
      </c>
      <c r="D451" s="78" t="str">
        <f>IF('19'!E22="","",'19'!E22)</f>
        <v/>
      </c>
      <c r="E451" s="76" t="s">
        <v>95</v>
      </c>
      <c r="F451" s="76"/>
      <c r="G451" s="76" t="str">
        <f t="shared" ref="G451:G481" si="7">IF(OR(D451="", D451=0, ISBLANK(D451)), "Не залито", "Залито")</f>
        <v>Не залито</v>
      </c>
    </row>
    <row r="452" spans="1:7" hidden="1" x14ac:dyDescent="0.25">
      <c r="A452" s="108" t="s">
        <v>10</v>
      </c>
      <c r="B452" s="162"/>
      <c r="C452" s="4">
        <v>19</v>
      </c>
      <c r="D452" s="78" t="str">
        <f>IF('19'!E23="","",'19'!E23)</f>
        <v/>
      </c>
      <c r="E452" s="76" t="s">
        <v>95</v>
      </c>
      <c r="F452" s="76"/>
      <c r="G452" s="76" t="str">
        <f t="shared" si="7"/>
        <v>Не залито</v>
      </c>
    </row>
    <row r="453" spans="1:7" hidden="1" x14ac:dyDescent="0.25">
      <c r="A453" s="108" t="s">
        <v>10</v>
      </c>
      <c r="B453" s="162"/>
      <c r="C453" s="4">
        <v>20</v>
      </c>
      <c r="D453" s="78" t="str">
        <f>IF('19'!E24="","",'19'!E24)</f>
        <v/>
      </c>
      <c r="E453" s="76" t="s">
        <v>95</v>
      </c>
      <c r="F453" s="76"/>
      <c r="G453" s="76" t="str">
        <f t="shared" si="7"/>
        <v>Не залито</v>
      </c>
    </row>
    <row r="454" spans="1:7" hidden="1" x14ac:dyDescent="0.25">
      <c r="A454" s="108" t="s">
        <v>10</v>
      </c>
      <c r="B454" s="162"/>
      <c r="C454" s="4">
        <v>21</v>
      </c>
      <c r="D454" s="78" t="str">
        <f>IF('19'!E25="","",'19'!E25)</f>
        <v/>
      </c>
      <c r="E454" s="76" t="s">
        <v>95</v>
      </c>
      <c r="F454" s="76"/>
      <c r="G454" s="76" t="str">
        <f t="shared" si="7"/>
        <v>Не залито</v>
      </c>
    </row>
    <row r="455" spans="1:7" hidden="1" x14ac:dyDescent="0.25">
      <c r="A455" s="108" t="s">
        <v>10</v>
      </c>
      <c r="B455" s="162"/>
      <c r="C455" s="4">
        <v>22</v>
      </c>
      <c r="D455" s="78" t="str">
        <f>IF('19'!E26="","",'19'!E26)</f>
        <v/>
      </c>
      <c r="E455" s="76" t="s">
        <v>95</v>
      </c>
      <c r="F455" s="76"/>
      <c r="G455" s="76" t="str">
        <f t="shared" si="7"/>
        <v>Не залито</v>
      </c>
    </row>
    <row r="456" spans="1:7" hidden="1" x14ac:dyDescent="0.25">
      <c r="A456" s="108" t="s">
        <v>10</v>
      </c>
      <c r="B456" s="162"/>
      <c r="C456" s="4">
        <v>23</v>
      </c>
      <c r="D456" s="78" t="str">
        <f>IF('19'!E27="","",'19'!E27)</f>
        <v/>
      </c>
      <c r="E456" s="76" t="s">
        <v>95</v>
      </c>
      <c r="F456" s="76"/>
      <c r="G456" s="76" t="str">
        <f t="shared" si="7"/>
        <v>Не залито</v>
      </c>
    </row>
    <row r="457" spans="1:7" hidden="1" x14ac:dyDescent="0.25">
      <c r="A457" s="108" t="s">
        <v>10</v>
      </c>
      <c r="B457" s="163"/>
      <c r="C457" s="4">
        <v>24</v>
      </c>
      <c r="D457" s="78" t="str">
        <f>IF('19'!E28="","",'19'!E28)</f>
        <v/>
      </c>
      <c r="E457" s="76" t="s">
        <v>95</v>
      </c>
      <c r="F457" s="76"/>
      <c r="G457" s="76" t="str">
        <f t="shared" si="7"/>
        <v>Не залито</v>
      </c>
    </row>
    <row r="458" spans="1:7" hidden="1" x14ac:dyDescent="0.25">
      <c r="A458" s="97" t="s">
        <v>11</v>
      </c>
      <c r="B458" s="161" t="s">
        <v>11</v>
      </c>
      <c r="C458" s="4">
        <v>1</v>
      </c>
      <c r="D458" s="78" t="str">
        <f>IF('20'!E5="","",'20'!E5)</f>
        <v/>
      </c>
      <c r="E458" s="76" t="s">
        <v>95</v>
      </c>
      <c r="F458" s="76"/>
      <c r="G458" s="76" t="str">
        <f t="shared" si="7"/>
        <v>Не залито</v>
      </c>
    </row>
    <row r="459" spans="1:7" hidden="1" x14ac:dyDescent="0.25">
      <c r="A459" s="97" t="s">
        <v>11</v>
      </c>
      <c r="B459" s="162"/>
      <c r="C459" s="4">
        <v>2</v>
      </c>
      <c r="D459" s="78" t="str">
        <f>IF('20'!E6="","",'20'!E6)</f>
        <v/>
      </c>
      <c r="E459" s="76" t="s">
        <v>95</v>
      </c>
      <c r="F459" s="76"/>
      <c r="G459" s="76" t="str">
        <f t="shared" si="7"/>
        <v>Не залито</v>
      </c>
    </row>
    <row r="460" spans="1:7" hidden="1" x14ac:dyDescent="0.25">
      <c r="A460" s="97" t="s">
        <v>11</v>
      </c>
      <c r="B460" s="162"/>
      <c r="C460" s="4">
        <v>3</v>
      </c>
      <c r="D460" s="78" t="str">
        <f>IF('20'!E7="","",'20'!E7)</f>
        <v/>
      </c>
      <c r="E460" s="76" t="s">
        <v>95</v>
      </c>
      <c r="F460" s="76"/>
      <c r="G460" s="76" t="str">
        <f t="shared" si="7"/>
        <v>Не залито</v>
      </c>
    </row>
    <row r="461" spans="1:7" hidden="1" x14ac:dyDescent="0.25">
      <c r="A461" s="97" t="s">
        <v>11</v>
      </c>
      <c r="B461" s="162"/>
      <c r="C461" s="4">
        <v>4</v>
      </c>
      <c r="D461" s="78" t="str">
        <f>IF('20'!E8="","",'20'!E8)</f>
        <v/>
      </c>
      <c r="E461" s="76" t="s">
        <v>95</v>
      </c>
      <c r="F461" s="76"/>
      <c r="G461" s="76" t="str">
        <f t="shared" si="7"/>
        <v>Не залито</v>
      </c>
    </row>
    <row r="462" spans="1:7" hidden="1" x14ac:dyDescent="0.25">
      <c r="A462" s="97" t="s">
        <v>11</v>
      </c>
      <c r="B462" s="162"/>
      <c r="C462" s="4">
        <v>5</v>
      </c>
      <c r="D462" s="78" t="str">
        <f>IF('20'!E9="","",'20'!E9)</f>
        <v/>
      </c>
      <c r="E462" s="76" t="s">
        <v>95</v>
      </c>
      <c r="F462" s="76"/>
      <c r="G462" s="76" t="str">
        <f t="shared" si="7"/>
        <v>Не залито</v>
      </c>
    </row>
    <row r="463" spans="1:7" hidden="1" x14ac:dyDescent="0.25">
      <c r="A463" s="97" t="s">
        <v>11</v>
      </c>
      <c r="B463" s="162"/>
      <c r="C463" s="4">
        <v>6</v>
      </c>
      <c r="D463" s="78" t="str">
        <f>IF('20'!E10="","",'20'!E10)</f>
        <v/>
      </c>
      <c r="E463" s="76" t="s">
        <v>95</v>
      </c>
      <c r="F463" s="76"/>
      <c r="G463" s="76" t="str">
        <f t="shared" si="7"/>
        <v>Не залито</v>
      </c>
    </row>
    <row r="464" spans="1:7" hidden="1" x14ac:dyDescent="0.25">
      <c r="A464" s="97" t="s">
        <v>11</v>
      </c>
      <c r="B464" s="162"/>
      <c r="C464" s="4">
        <v>7</v>
      </c>
      <c r="D464" s="78" t="str">
        <f>IF('20'!E11="","",'20'!E11)</f>
        <v/>
      </c>
      <c r="E464" s="76" t="s">
        <v>95</v>
      </c>
      <c r="F464" s="76"/>
      <c r="G464" s="76" t="str">
        <f t="shared" si="7"/>
        <v>Не залито</v>
      </c>
    </row>
    <row r="465" spans="1:7" hidden="1" x14ac:dyDescent="0.25">
      <c r="A465" s="97" t="s">
        <v>11</v>
      </c>
      <c r="B465" s="162"/>
      <c r="C465" s="4">
        <v>8</v>
      </c>
      <c r="D465" s="78" t="str">
        <f>IF('20'!E12="","",'20'!E12)</f>
        <v/>
      </c>
      <c r="E465" s="76" t="s">
        <v>95</v>
      </c>
      <c r="F465" s="76"/>
      <c r="G465" s="76" t="str">
        <f t="shared" si="7"/>
        <v>Не залито</v>
      </c>
    </row>
    <row r="466" spans="1:7" hidden="1" x14ac:dyDescent="0.25">
      <c r="A466" s="97" t="s">
        <v>11</v>
      </c>
      <c r="B466" s="162"/>
      <c r="C466" s="4">
        <v>9</v>
      </c>
      <c r="D466" s="78" t="str">
        <f>IF('20'!E13="","",'20'!E13)</f>
        <v/>
      </c>
      <c r="E466" s="76" t="s">
        <v>95</v>
      </c>
      <c r="F466" s="76"/>
      <c r="G466" s="76" t="str">
        <f t="shared" si="7"/>
        <v>Не залито</v>
      </c>
    </row>
    <row r="467" spans="1:7" hidden="1" x14ac:dyDescent="0.25">
      <c r="A467" s="97" t="s">
        <v>11</v>
      </c>
      <c r="B467" s="162"/>
      <c r="C467" s="4">
        <v>10</v>
      </c>
      <c r="D467" s="78" t="str">
        <f>IF('20'!E14="","",'20'!E14)</f>
        <v/>
      </c>
      <c r="E467" s="76" t="s">
        <v>95</v>
      </c>
      <c r="F467" s="76"/>
      <c r="G467" s="76" t="str">
        <f t="shared" si="7"/>
        <v>Не залито</v>
      </c>
    </row>
    <row r="468" spans="1:7" hidden="1" x14ac:dyDescent="0.25">
      <c r="A468" s="97" t="s">
        <v>11</v>
      </c>
      <c r="B468" s="162"/>
      <c r="C468" s="4">
        <v>11</v>
      </c>
      <c r="D468" s="78" t="str">
        <f>IF('20'!E15="","",'20'!E15)</f>
        <v/>
      </c>
      <c r="E468" s="76" t="s">
        <v>95</v>
      </c>
      <c r="F468" s="76"/>
      <c r="G468" s="76" t="str">
        <f t="shared" si="7"/>
        <v>Не залито</v>
      </c>
    </row>
    <row r="469" spans="1:7" hidden="1" x14ac:dyDescent="0.25">
      <c r="A469" s="97" t="s">
        <v>11</v>
      </c>
      <c r="B469" s="162"/>
      <c r="C469" s="4">
        <v>12</v>
      </c>
      <c r="D469" s="78" t="str">
        <f>IF('20'!E16="","",'20'!E16)</f>
        <v/>
      </c>
      <c r="E469" s="76" t="s">
        <v>95</v>
      </c>
      <c r="F469" s="76"/>
      <c r="G469" s="76" t="str">
        <f t="shared" si="7"/>
        <v>Не залито</v>
      </c>
    </row>
    <row r="470" spans="1:7" hidden="1" x14ac:dyDescent="0.25">
      <c r="A470" s="97" t="s">
        <v>11</v>
      </c>
      <c r="B470" s="162"/>
      <c r="C470" s="4">
        <v>13</v>
      </c>
      <c r="D470" s="78" t="str">
        <f>IF('20'!E17="","",'20'!E17)</f>
        <v/>
      </c>
      <c r="E470" s="76" t="s">
        <v>95</v>
      </c>
      <c r="F470" s="76"/>
      <c r="G470" s="76" t="str">
        <f t="shared" si="7"/>
        <v>Не залито</v>
      </c>
    </row>
    <row r="471" spans="1:7" hidden="1" x14ac:dyDescent="0.25">
      <c r="A471" s="97" t="s">
        <v>11</v>
      </c>
      <c r="B471" s="162"/>
      <c r="C471" s="4">
        <v>14</v>
      </c>
      <c r="D471" s="78" t="str">
        <f>IF('20'!E18="","",'20'!E18)</f>
        <v/>
      </c>
      <c r="E471" s="76" t="s">
        <v>95</v>
      </c>
      <c r="F471" s="76"/>
      <c r="G471" s="76" t="str">
        <f t="shared" si="7"/>
        <v>Не залито</v>
      </c>
    </row>
    <row r="472" spans="1:7" hidden="1" x14ac:dyDescent="0.25">
      <c r="A472" s="97" t="s">
        <v>11</v>
      </c>
      <c r="B472" s="162"/>
      <c r="C472" s="4">
        <v>15</v>
      </c>
      <c r="D472" s="78" t="str">
        <f>IF('20'!E19="","",'20'!E19)</f>
        <v/>
      </c>
      <c r="E472" s="76" t="s">
        <v>95</v>
      </c>
      <c r="F472" s="76"/>
      <c r="G472" s="76" t="str">
        <f t="shared" si="7"/>
        <v>Не залито</v>
      </c>
    </row>
    <row r="473" spans="1:7" hidden="1" x14ac:dyDescent="0.25">
      <c r="A473" s="97" t="s">
        <v>11</v>
      </c>
      <c r="B473" s="162"/>
      <c r="C473" s="4">
        <v>16</v>
      </c>
      <c r="D473" s="78" t="str">
        <f>IF('20'!E20="","",'20'!E20)</f>
        <v/>
      </c>
      <c r="E473" s="76" t="s">
        <v>95</v>
      </c>
      <c r="F473" s="76"/>
      <c r="G473" s="76" t="str">
        <f t="shared" si="7"/>
        <v>Не залито</v>
      </c>
    </row>
    <row r="474" spans="1:7" hidden="1" x14ac:dyDescent="0.25">
      <c r="A474" s="97" t="s">
        <v>11</v>
      </c>
      <c r="B474" s="162"/>
      <c r="C474" s="4">
        <v>17</v>
      </c>
      <c r="D474" s="78" t="str">
        <f>IF('20'!E21="","",'20'!E21)</f>
        <v/>
      </c>
      <c r="E474" s="76" t="s">
        <v>95</v>
      </c>
      <c r="F474" s="76"/>
      <c r="G474" s="76" t="str">
        <f t="shared" si="7"/>
        <v>Не залито</v>
      </c>
    </row>
    <row r="475" spans="1:7" hidden="1" x14ac:dyDescent="0.25">
      <c r="A475" s="97" t="s">
        <v>11</v>
      </c>
      <c r="B475" s="162"/>
      <c r="C475" s="4">
        <v>18</v>
      </c>
      <c r="D475" s="78" t="str">
        <f>IF('20'!E22="","",'20'!E22)</f>
        <v/>
      </c>
      <c r="E475" s="76" t="s">
        <v>95</v>
      </c>
      <c r="F475" s="76"/>
      <c r="G475" s="76" t="str">
        <f t="shared" si="7"/>
        <v>Не залито</v>
      </c>
    </row>
    <row r="476" spans="1:7" hidden="1" x14ac:dyDescent="0.25">
      <c r="A476" s="97" t="s">
        <v>11</v>
      </c>
      <c r="B476" s="162"/>
      <c r="C476" s="4">
        <v>19</v>
      </c>
      <c r="D476" s="78" t="str">
        <f>IF('20'!E23="","",'20'!E23)</f>
        <v/>
      </c>
      <c r="E476" s="76" t="s">
        <v>95</v>
      </c>
      <c r="F476" s="76"/>
      <c r="G476" s="76" t="str">
        <f t="shared" si="7"/>
        <v>Не залито</v>
      </c>
    </row>
    <row r="477" spans="1:7" hidden="1" x14ac:dyDescent="0.25">
      <c r="A477" s="97" t="s">
        <v>11</v>
      </c>
      <c r="B477" s="162"/>
      <c r="C477" s="4">
        <v>20</v>
      </c>
      <c r="D477" s="78" t="str">
        <f>IF('20'!E24="","",'20'!E24)</f>
        <v/>
      </c>
      <c r="E477" s="76" t="s">
        <v>95</v>
      </c>
      <c r="F477" s="76"/>
      <c r="G477" s="76" t="str">
        <f t="shared" si="7"/>
        <v>Не залито</v>
      </c>
    </row>
    <row r="478" spans="1:7" hidden="1" x14ac:dyDescent="0.25">
      <c r="A478" s="97" t="s">
        <v>11</v>
      </c>
      <c r="B478" s="162"/>
      <c r="C478" s="4">
        <v>21</v>
      </c>
      <c r="D478" s="78" t="str">
        <f>IF('20'!E25="","",'20'!E25)</f>
        <v/>
      </c>
      <c r="E478" s="76" t="s">
        <v>95</v>
      </c>
      <c r="F478" s="76"/>
      <c r="G478" s="76" t="str">
        <f t="shared" si="7"/>
        <v>Не залито</v>
      </c>
    </row>
    <row r="479" spans="1:7" hidden="1" x14ac:dyDescent="0.25">
      <c r="A479" s="97" t="s">
        <v>11</v>
      </c>
      <c r="B479" s="162"/>
      <c r="C479" s="4">
        <v>22</v>
      </c>
      <c r="D479" s="78" t="str">
        <f>IF('20'!E26="","",'20'!E26)</f>
        <v/>
      </c>
      <c r="E479" s="76" t="s">
        <v>95</v>
      </c>
      <c r="F479" s="76"/>
      <c r="G479" s="76" t="str">
        <f t="shared" si="7"/>
        <v>Не залито</v>
      </c>
    </row>
    <row r="480" spans="1:7" hidden="1" x14ac:dyDescent="0.25">
      <c r="A480" s="97" t="s">
        <v>11</v>
      </c>
      <c r="B480" s="162"/>
      <c r="C480" s="4">
        <v>23</v>
      </c>
      <c r="D480" s="78" t="str">
        <f>IF('20'!E27="","",'20'!E27)</f>
        <v/>
      </c>
      <c r="E480" s="76" t="s">
        <v>95</v>
      </c>
      <c r="F480" s="76"/>
      <c r="G480" s="76" t="str">
        <f t="shared" si="7"/>
        <v>Не залито</v>
      </c>
    </row>
    <row r="481" spans="1:7" hidden="1" x14ac:dyDescent="0.25">
      <c r="A481" s="97" t="s">
        <v>11</v>
      </c>
      <c r="B481" s="163"/>
      <c r="C481" s="4">
        <v>24</v>
      </c>
      <c r="D481" s="78" t="str">
        <f>IF('20'!E28="","",'20'!E28)</f>
        <v/>
      </c>
      <c r="E481" s="76" t="s">
        <v>95</v>
      </c>
      <c r="F481" s="76"/>
      <c r="G481" s="76" t="str">
        <f t="shared" si="7"/>
        <v>Не залито</v>
      </c>
    </row>
  </sheetData>
  <autoFilter ref="A1:G481" xr:uid="{F7744B14-A4CB-4139-BF15-CA413E3D70BF}">
    <filterColumn colId="6">
      <filters>
        <filter val="Залито"/>
      </filters>
    </filterColumn>
  </autoFilter>
  <mergeCells count="20">
    <mergeCell ref="B434:B457"/>
    <mergeCell ref="B458:B481"/>
    <mergeCell ref="B290:B313"/>
    <mergeCell ref="B314:B337"/>
    <mergeCell ref="B338:B361"/>
    <mergeCell ref="B362:B385"/>
    <mergeCell ref="B386:B409"/>
    <mergeCell ref="B410:B433"/>
    <mergeCell ref="B266:B289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9923D-7653-4960-954B-38E4F494AEF4}">
  <sheetPr filterMode="1"/>
  <dimension ref="A1:F481"/>
  <sheetViews>
    <sheetView topLeftCell="A344" zoomScale="70" zoomScaleNormal="70" workbookViewId="0">
      <selection activeCell="E254" sqref="E254"/>
    </sheetView>
  </sheetViews>
  <sheetFormatPr defaultRowHeight="15" x14ac:dyDescent="0.25"/>
  <cols>
    <col min="1" max="1" width="9.140625" style="84"/>
    <col min="2" max="2" width="9.140625" hidden="1" customWidth="1"/>
    <col min="3" max="3" width="11.5703125" customWidth="1"/>
    <col min="4" max="4" width="17.28515625" style="86" customWidth="1"/>
    <col min="5" max="5" width="18.85546875" style="83" customWidth="1"/>
    <col min="6" max="6" width="13.140625" customWidth="1"/>
  </cols>
  <sheetData>
    <row r="1" spans="1:6" ht="39" customHeight="1" x14ac:dyDescent="0.25">
      <c r="A1" s="87" t="s">
        <v>0</v>
      </c>
      <c r="B1" s="87"/>
      <c r="C1" s="87" t="s">
        <v>88</v>
      </c>
      <c r="D1" s="87" t="s">
        <v>67</v>
      </c>
      <c r="E1" s="87" t="s">
        <v>90</v>
      </c>
      <c r="F1" s="88" t="s">
        <v>92</v>
      </c>
    </row>
    <row r="2" spans="1:6" hidden="1" x14ac:dyDescent="0.25">
      <c r="A2" s="91" t="s">
        <v>84</v>
      </c>
      <c r="B2" s="161" t="s">
        <v>84</v>
      </c>
      <c r="C2" s="4">
        <v>1</v>
      </c>
      <c r="D2" s="78" t="str">
        <f>IF('1'!E5="","",'1'!E5)</f>
        <v/>
      </c>
      <c r="E2" s="85"/>
      <c r="F2" s="85"/>
    </row>
    <row r="3" spans="1:6" hidden="1" x14ac:dyDescent="0.25">
      <c r="A3" s="91" t="s">
        <v>84</v>
      </c>
      <c r="B3" s="162"/>
      <c r="C3" s="4">
        <v>2</v>
      </c>
      <c r="D3" s="78" t="str">
        <f>IF('1'!E6="","",'1'!E6)</f>
        <v/>
      </c>
      <c r="E3" s="85"/>
      <c r="F3" s="85"/>
    </row>
    <row r="4" spans="1:6" hidden="1" x14ac:dyDescent="0.25">
      <c r="A4" s="91" t="s">
        <v>84</v>
      </c>
      <c r="B4" s="162"/>
      <c r="C4" s="4">
        <v>3</v>
      </c>
      <c r="D4" s="78" t="str">
        <f>IF('1'!E7="","",'1'!E7)</f>
        <v/>
      </c>
      <c r="E4" s="85"/>
      <c r="F4" s="85"/>
    </row>
    <row r="5" spans="1:6" hidden="1" x14ac:dyDescent="0.25">
      <c r="A5" s="91" t="s">
        <v>84</v>
      </c>
      <c r="B5" s="162"/>
      <c r="C5" s="4">
        <v>4</v>
      </c>
      <c r="D5" s="78" t="str">
        <f>IF('1'!E8="","",'1'!E8)</f>
        <v/>
      </c>
      <c r="E5" s="85"/>
      <c r="F5" s="85"/>
    </row>
    <row r="6" spans="1:6" hidden="1" x14ac:dyDescent="0.25">
      <c r="A6" s="91" t="s">
        <v>84</v>
      </c>
      <c r="B6" s="162"/>
      <c r="C6" s="4">
        <v>5</v>
      </c>
      <c r="D6" s="78" t="str">
        <f>IF('1'!E9="","",'1'!E9)</f>
        <v/>
      </c>
      <c r="E6" s="85"/>
      <c r="F6" s="85"/>
    </row>
    <row r="7" spans="1:6" hidden="1" x14ac:dyDescent="0.25">
      <c r="A7" s="91" t="s">
        <v>84</v>
      </c>
      <c r="B7" s="162"/>
      <c r="C7" s="4">
        <v>6</v>
      </c>
      <c r="D7" s="78" t="str">
        <f>IF('1'!E10="","",'1'!E10)</f>
        <v/>
      </c>
      <c r="E7" s="85"/>
      <c r="F7" s="85"/>
    </row>
    <row r="8" spans="1:6" hidden="1" x14ac:dyDescent="0.25">
      <c r="A8" s="91" t="s">
        <v>84</v>
      </c>
      <c r="B8" s="162"/>
      <c r="C8" s="4">
        <v>7</v>
      </c>
      <c r="D8" s="78" t="str">
        <f>IF('1'!E11="","",'1'!E11)</f>
        <v/>
      </c>
      <c r="E8" s="85"/>
      <c r="F8" s="85"/>
    </row>
    <row r="9" spans="1:6" hidden="1" x14ac:dyDescent="0.25">
      <c r="A9" s="91" t="s">
        <v>84</v>
      </c>
      <c r="B9" s="162"/>
      <c r="C9" s="4">
        <v>8</v>
      </c>
      <c r="D9" s="78" t="str">
        <f>IF('1'!E12="","",'1'!E12)</f>
        <v/>
      </c>
      <c r="E9" s="85"/>
      <c r="F9" s="85"/>
    </row>
    <row r="10" spans="1:6" hidden="1" x14ac:dyDescent="0.25">
      <c r="A10" s="91" t="s">
        <v>84</v>
      </c>
      <c r="B10" s="162"/>
      <c r="C10" s="4">
        <v>9</v>
      </c>
      <c r="D10" s="78" t="str">
        <f>IF('1'!E13="","",'1'!E13)</f>
        <v/>
      </c>
      <c r="E10" s="85"/>
      <c r="F10" s="85"/>
    </row>
    <row r="11" spans="1:6" hidden="1" x14ac:dyDescent="0.25">
      <c r="A11" s="91" t="s">
        <v>84</v>
      </c>
      <c r="B11" s="162"/>
      <c r="C11" s="4">
        <v>10</v>
      </c>
      <c r="D11" s="78" t="str">
        <f>IF('1'!E14="","",'1'!E14)</f>
        <v/>
      </c>
      <c r="E11" s="85"/>
      <c r="F11" s="85"/>
    </row>
    <row r="12" spans="1:6" hidden="1" x14ac:dyDescent="0.25">
      <c r="A12" s="91" t="s">
        <v>84</v>
      </c>
      <c r="B12" s="162"/>
      <c r="C12" s="4">
        <v>11</v>
      </c>
      <c r="D12" s="78" t="str">
        <f>IF('1'!E15="","",'1'!E15)</f>
        <v/>
      </c>
      <c r="E12" s="85"/>
      <c r="F12" s="85"/>
    </row>
    <row r="13" spans="1:6" hidden="1" x14ac:dyDescent="0.25">
      <c r="A13" s="91" t="s">
        <v>84</v>
      </c>
      <c r="B13" s="162"/>
      <c r="C13" s="4">
        <v>12</v>
      </c>
      <c r="D13" s="78" t="str">
        <f>IF('1'!E16="","",'1'!E16)</f>
        <v/>
      </c>
      <c r="E13" s="85"/>
      <c r="F13" s="85"/>
    </row>
    <row r="14" spans="1:6" hidden="1" x14ac:dyDescent="0.25">
      <c r="A14" s="91" t="s">
        <v>84</v>
      </c>
      <c r="B14" s="162"/>
      <c r="C14" s="4">
        <v>13</v>
      </c>
      <c r="D14" s="78" t="str">
        <f>IF('1'!E17="","",'1'!E17)</f>
        <v/>
      </c>
      <c r="E14" s="85"/>
      <c r="F14" s="85"/>
    </row>
    <row r="15" spans="1:6" hidden="1" x14ac:dyDescent="0.25">
      <c r="A15" s="91" t="s">
        <v>84</v>
      </c>
      <c r="B15" s="162"/>
      <c r="C15" s="4">
        <v>14</v>
      </c>
      <c r="D15" s="78" t="str">
        <f>IF('1'!E18="","",'1'!E18)</f>
        <v/>
      </c>
      <c r="E15" s="85"/>
      <c r="F15" s="85"/>
    </row>
    <row r="16" spans="1:6" hidden="1" x14ac:dyDescent="0.25">
      <c r="A16" s="91" t="s">
        <v>84</v>
      </c>
      <c r="B16" s="162"/>
      <c r="C16" s="4">
        <v>15</v>
      </c>
      <c r="D16" s="78" t="str">
        <f>IF('1'!E19="","",'1'!E19)</f>
        <v/>
      </c>
      <c r="E16" s="85"/>
      <c r="F16" s="85"/>
    </row>
    <row r="17" spans="1:6" hidden="1" x14ac:dyDescent="0.25">
      <c r="A17" s="91" t="s">
        <v>84</v>
      </c>
      <c r="B17" s="162"/>
      <c r="C17" s="4">
        <v>16</v>
      </c>
      <c r="D17" s="78" t="str">
        <f>IF('1'!E20="","",'1'!E20)</f>
        <v/>
      </c>
      <c r="E17" s="85"/>
      <c r="F17" s="85"/>
    </row>
    <row r="18" spans="1:6" hidden="1" x14ac:dyDescent="0.25">
      <c r="A18" s="91" t="s">
        <v>84</v>
      </c>
      <c r="B18" s="162"/>
      <c r="C18" s="4">
        <v>17</v>
      </c>
      <c r="D18" s="78" t="str">
        <f>IF('1'!E21="","",'1'!E21)</f>
        <v/>
      </c>
      <c r="E18" s="85"/>
      <c r="F18" s="85"/>
    </row>
    <row r="19" spans="1:6" hidden="1" x14ac:dyDescent="0.25">
      <c r="A19" s="91" t="s">
        <v>84</v>
      </c>
      <c r="B19" s="162"/>
      <c r="C19" s="4">
        <v>18</v>
      </c>
      <c r="D19" s="78" t="str">
        <f>IF('1'!E22="","",'1'!E22)</f>
        <v/>
      </c>
      <c r="E19" s="85"/>
      <c r="F19" s="85"/>
    </row>
    <row r="20" spans="1:6" hidden="1" x14ac:dyDescent="0.25">
      <c r="A20" s="91" t="s">
        <v>84</v>
      </c>
      <c r="B20" s="162"/>
      <c r="C20" s="4">
        <v>19</v>
      </c>
      <c r="D20" s="78" t="str">
        <f>IF('1'!E23="","",'1'!E23)</f>
        <v/>
      </c>
      <c r="E20" s="85"/>
      <c r="F20" s="85"/>
    </row>
    <row r="21" spans="1:6" hidden="1" x14ac:dyDescent="0.25">
      <c r="A21" s="91" t="s">
        <v>84</v>
      </c>
      <c r="B21" s="162"/>
      <c r="C21" s="4">
        <v>20</v>
      </c>
      <c r="D21" s="78" t="str">
        <f>IF('1'!E24="","",'1'!E24)</f>
        <v/>
      </c>
      <c r="E21" s="85"/>
      <c r="F21" s="85"/>
    </row>
    <row r="22" spans="1:6" hidden="1" x14ac:dyDescent="0.25">
      <c r="A22" s="91" t="s">
        <v>84</v>
      </c>
      <c r="B22" s="162"/>
      <c r="C22" s="4">
        <v>21</v>
      </c>
      <c r="D22" s="78" t="str">
        <f>IF('1'!E25="","",'1'!E25)</f>
        <v/>
      </c>
      <c r="E22" s="85"/>
      <c r="F22" s="85"/>
    </row>
    <row r="23" spans="1:6" hidden="1" x14ac:dyDescent="0.25">
      <c r="A23" s="91" t="s">
        <v>84</v>
      </c>
      <c r="B23" s="162"/>
      <c r="C23" s="4">
        <v>22</v>
      </c>
      <c r="D23" s="78" t="str">
        <f>IF('1'!E26="","",'1'!E26)</f>
        <v/>
      </c>
      <c r="E23" s="85"/>
      <c r="F23" s="85"/>
    </row>
    <row r="24" spans="1:6" hidden="1" x14ac:dyDescent="0.25">
      <c r="A24" s="91" t="s">
        <v>84</v>
      </c>
      <c r="B24" s="162"/>
      <c r="C24" s="4">
        <v>23</v>
      </c>
      <c r="D24" s="78" t="str">
        <f>IF('1'!E27="","",'1'!E27)</f>
        <v/>
      </c>
      <c r="E24" s="85"/>
      <c r="F24" s="85"/>
    </row>
    <row r="25" spans="1:6" hidden="1" x14ac:dyDescent="0.25">
      <c r="A25" s="91" t="s">
        <v>84</v>
      </c>
      <c r="B25" s="163"/>
      <c r="C25" s="4">
        <v>24</v>
      </c>
      <c r="D25" s="78" t="str">
        <f>IF('1'!E28="","",'1'!E28)</f>
        <v/>
      </c>
      <c r="E25" s="85"/>
      <c r="F25" s="85"/>
    </row>
    <row r="26" spans="1:6" hidden="1" x14ac:dyDescent="0.25">
      <c r="A26" s="92" t="s">
        <v>5</v>
      </c>
      <c r="B26" s="161" t="s">
        <v>5</v>
      </c>
      <c r="C26" s="4">
        <v>1</v>
      </c>
      <c r="D26" s="78" t="str">
        <f>IF('2'!E5="","",'2'!E5)</f>
        <v/>
      </c>
      <c r="E26" s="85"/>
      <c r="F26" s="85"/>
    </row>
    <row r="27" spans="1:6" hidden="1" x14ac:dyDescent="0.25">
      <c r="A27" s="92" t="s">
        <v>5</v>
      </c>
      <c r="B27" s="162"/>
      <c r="C27" s="4">
        <v>2</v>
      </c>
      <c r="D27" s="78">
        <f>IF('2'!E6="","",'2'!E6)</f>
        <v>46253</v>
      </c>
      <c r="E27" s="85"/>
      <c r="F27" s="85"/>
    </row>
    <row r="28" spans="1:6" hidden="1" x14ac:dyDescent="0.25">
      <c r="A28" s="92" t="s">
        <v>5</v>
      </c>
      <c r="B28" s="162"/>
      <c r="C28" s="4">
        <v>3</v>
      </c>
      <c r="D28" s="78">
        <f>IF('2'!E7="","",'2'!E7)</f>
        <v>46252</v>
      </c>
      <c r="E28" s="85"/>
      <c r="F28" s="85"/>
    </row>
    <row r="29" spans="1:6" hidden="1" x14ac:dyDescent="0.25">
      <c r="A29" s="92" t="s">
        <v>5</v>
      </c>
      <c r="B29" s="162"/>
      <c r="C29" s="4">
        <v>4</v>
      </c>
      <c r="D29" s="78">
        <f>IF('2'!E8="","",'2'!E8)</f>
        <v>46248</v>
      </c>
      <c r="E29" s="85"/>
      <c r="F29" s="85"/>
    </row>
    <row r="30" spans="1:6" hidden="1" x14ac:dyDescent="0.25">
      <c r="A30" s="92" t="s">
        <v>5</v>
      </c>
      <c r="B30" s="162"/>
      <c r="C30" s="4">
        <v>5</v>
      </c>
      <c r="D30" s="78">
        <f>IF('2'!E9="","",'2'!E9)</f>
        <v>46251</v>
      </c>
      <c r="E30" s="85"/>
      <c r="F30" s="85"/>
    </row>
    <row r="31" spans="1:6" hidden="1" x14ac:dyDescent="0.25">
      <c r="A31" s="92" t="s">
        <v>5</v>
      </c>
      <c r="B31" s="162"/>
      <c r="C31" s="4">
        <v>6</v>
      </c>
      <c r="D31" s="78">
        <f>IF('2'!E10="","",'2'!E10)</f>
        <v>46247</v>
      </c>
      <c r="E31" s="85"/>
      <c r="F31" s="85"/>
    </row>
    <row r="32" spans="1:6" hidden="1" x14ac:dyDescent="0.25">
      <c r="A32" s="92" t="s">
        <v>5</v>
      </c>
      <c r="B32" s="162"/>
      <c r="C32" s="4">
        <v>7</v>
      </c>
      <c r="D32" s="78">
        <f>IF('2'!E11="","",'2'!E11)</f>
        <v>46250</v>
      </c>
      <c r="E32" s="85"/>
      <c r="F32" s="85"/>
    </row>
    <row r="33" spans="1:6" hidden="1" x14ac:dyDescent="0.25">
      <c r="A33" s="92" t="s">
        <v>5</v>
      </c>
      <c r="B33" s="162"/>
      <c r="C33" s="4">
        <v>8</v>
      </c>
      <c r="D33" s="78">
        <f>IF('2'!E12="","",'2'!E12)</f>
        <v>46247</v>
      </c>
      <c r="E33" s="85"/>
      <c r="F33" s="85"/>
    </row>
    <row r="34" spans="1:6" hidden="1" x14ac:dyDescent="0.25">
      <c r="A34" s="92" t="s">
        <v>5</v>
      </c>
      <c r="B34" s="162"/>
      <c r="C34" s="4">
        <v>9</v>
      </c>
      <c r="D34" s="78">
        <f>IF('2'!E13="","",'2'!E13)</f>
        <v>46250</v>
      </c>
      <c r="E34" s="85"/>
      <c r="F34" s="85"/>
    </row>
    <row r="35" spans="1:6" hidden="1" x14ac:dyDescent="0.25">
      <c r="A35" s="92" t="s">
        <v>5</v>
      </c>
      <c r="B35" s="162"/>
      <c r="C35" s="4">
        <v>10</v>
      </c>
      <c r="D35" s="78">
        <f>IF('2'!E14="","",'2'!E14)</f>
        <v>46246</v>
      </c>
      <c r="E35" s="85"/>
      <c r="F35" s="85"/>
    </row>
    <row r="36" spans="1:6" hidden="1" x14ac:dyDescent="0.25">
      <c r="A36" s="92" t="s">
        <v>5</v>
      </c>
      <c r="B36" s="162"/>
      <c r="C36" s="4">
        <v>11</v>
      </c>
      <c r="D36" s="78">
        <f>IF('2'!E15="","",'2'!E15)</f>
        <v>46250</v>
      </c>
      <c r="E36" s="85"/>
      <c r="F36" s="85"/>
    </row>
    <row r="37" spans="1:6" hidden="1" x14ac:dyDescent="0.25">
      <c r="A37" s="92" t="s">
        <v>5</v>
      </c>
      <c r="B37" s="162"/>
      <c r="C37" s="4">
        <v>12</v>
      </c>
      <c r="D37" s="78">
        <f>IF('2'!E16="","",'2'!E16)</f>
        <v>46246</v>
      </c>
      <c r="E37" s="85"/>
      <c r="F37" s="85"/>
    </row>
    <row r="38" spans="1:6" hidden="1" x14ac:dyDescent="0.25">
      <c r="A38" s="92" t="s">
        <v>5</v>
      </c>
      <c r="B38" s="162"/>
      <c r="C38" s="4">
        <v>13</v>
      </c>
      <c r="D38" s="78">
        <f>IF('2'!E17="","",'2'!E17)</f>
        <v>46250</v>
      </c>
      <c r="E38" s="85"/>
      <c r="F38" s="85"/>
    </row>
    <row r="39" spans="1:6" hidden="1" x14ac:dyDescent="0.25">
      <c r="A39" s="92" t="s">
        <v>5</v>
      </c>
      <c r="B39" s="162"/>
      <c r="C39" s="4">
        <v>14</v>
      </c>
      <c r="D39" s="78">
        <f>IF('2'!E18="","",'2'!E18)</f>
        <v>46251</v>
      </c>
      <c r="E39" s="85"/>
      <c r="F39" s="85"/>
    </row>
    <row r="40" spans="1:6" hidden="1" x14ac:dyDescent="0.25">
      <c r="A40" s="92" t="s">
        <v>5</v>
      </c>
      <c r="B40" s="162"/>
      <c r="C40" s="4">
        <v>15</v>
      </c>
      <c r="D40" s="78">
        <f>IF('2'!E19="","",'2'!E19)</f>
        <v>46249</v>
      </c>
      <c r="E40" s="85"/>
      <c r="F40" s="85"/>
    </row>
    <row r="41" spans="1:6" hidden="1" x14ac:dyDescent="0.25">
      <c r="A41" s="92" t="s">
        <v>5</v>
      </c>
      <c r="B41" s="162"/>
      <c r="C41" s="4">
        <v>16</v>
      </c>
      <c r="D41" s="78">
        <f>IF('2'!E20="","",'2'!E20)</f>
        <v>46251</v>
      </c>
      <c r="E41" s="85"/>
      <c r="F41" s="85"/>
    </row>
    <row r="42" spans="1:6" hidden="1" x14ac:dyDescent="0.25">
      <c r="A42" s="92" t="s">
        <v>5</v>
      </c>
      <c r="B42" s="162"/>
      <c r="C42" s="4">
        <v>17</v>
      </c>
      <c r="D42" s="78">
        <f>IF('2'!E21="","",'2'!E21)</f>
        <v>46249</v>
      </c>
      <c r="E42" s="85"/>
      <c r="F42" s="85"/>
    </row>
    <row r="43" spans="1:6" hidden="1" x14ac:dyDescent="0.25">
      <c r="A43" s="92" t="s">
        <v>5</v>
      </c>
      <c r="B43" s="162"/>
      <c r="C43" s="4">
        <v>18</v>
      </c>
      <c r="D43" s="78">
        <f>IF('2'!E22="","",'2'!E22)</f>
        <v>46252</v>
      </c>
      <c r="E43" s="85"/>
      <c r="F43" s="85"/>
    </row>
    <row r="44" spans="1:6" hidden="1" x14ac:dyDescent="0.25">
      <c r="A44" s="92" t="s">
        <v>5</v>
      </c>
      <c r="B44" s="162"/>
      <c r="C44" s="4">
        <v>19</v>
      </c>
      <c r="D44" s="78">
        <f>IF('2'!E23="","",'2'!E23)</f>
        <v>46248</v>
      </c>
      <c r="E44" s="85"/>
      <c r="F44" s="85"/>
    </row>
    <row r="45" spans="1:6" hidden="1" x14ac:dyDescent="0.25">
      <c r="A45" s="92" t="s">
        <v>5</v>
      </c>
      <c r="B45" s="162"/>
      <c r="C45" s="4">
        <v>20</v>
      </c>
      <c r="D45" s="78">
        <f>IF('2'!E24="","",'2'!E24)</f>
        <v>46252</v>
      </c>
      <c r="E45" s="85"/>
      <c r="F45" s="85"/>
    </row>
    <row r="46" spans="1:6" hidden="1" x14ac:dyDescent="0.25">
      <c r="A46" s="92" t="s">
        <v>5</v>
      </c>
      <c r="B46" s="162"/>
      <c r="C46" s="4">
        <v>21</v>
      </c>
      <c r="D46" s="78">
        <f>IF('2'!E25="","",'2'!E25)</f>
        <v>46249</v>
      </c>
      <c r="E46" s="85"/>
      <c r="F46" s="85"/>
    </row>
    <row r="47" spans="1:6" hidden="1" x14ac:dyDescent="0.25">
      <c r="A47" s="92" t="s">
        <v>5</v>
      </c>
      <c r="B47" s="162"/>
      <c r="C47" s="4">
        <v>22</v>
      </c>
      <c r="D47" s="78">
        <f>IF('2'!E26="","",'2'!E26)</f>
        <v>46252</v>
      </c>
      <c r="E47" s="85"/>
      <c r="F47" s="85"/>
    </row>
    <row r="48" spans="1:6" hidden="1" x14ac:dyDescent="0.25">
      <c r="A48" s="92" t="s">
        <v>5</v>
      </c>
      <c r="B48" s="162"/>
      <c r="C48" s="4">
        <v>23</v>
      </c>
      <c r="D48" s="78" t="str">
        <f>IF('2'!E27="","",'2'!E27)</f>
        <v/>
      </c>
      <c r="E48" s="85"/>
      <c r="F48" s="85"/>
    </row>
    <row r="49" spans="1:6" hidden="1" x14ac:dyDescent="0.25">
      <c r="A49" s="92" t="s">
        <v>5</v>
      </c>
      <c r="B49" s="163"/>
      <c r="C49" s="4">
        <v>24</v>
      </c>
      <c r="D49" s="78">
        <f>IF('2'!E28="","",'2'!E28)</f>
        <v>46253</v>
      </c>
      <c r="E49" s="85"/>
      <c r="F49" s="85"/>
    </row>
    <row r="50" spans="1:6" hidden="1" x14ac:dyDescent="0.25">
      <c r="A50" s="93" t="s">
        <v>85</v>
      </c>
      <c r="B50" s="161" t="s">
        <v>85</v>
      </c>
      <c r="C50" s="4">
        <v>1</v>
      </c>
      <c r="D50" s="78">
        <f>IF('3'!E5="","",'3'!E5)</f>
        <v>46248</v>
      </c>
      <c r="E50" s="85"/>
      <c r="F50" s="85"/>
    </row>
    <row r="51" spans="1:6" hidden="1" x14ac:dyDescent="0.25">
      <c r="A51" s="93" t="s">
        <v>85</v>
      </c>
      <c r="B51" s="162"/>
      <c r="C51" s="4">
        <v>2</v>
      </c>
      <c r="D51" s="78">
        <f>IF('3'!E6="","",'3'!E6)</f>
        <v>46250</v>
      </c>
      <c r="E51" s="85"/>
      <c r="F51" s="85"/>
    </row>
    <row r="52" spans="1:6" hidden="1" x14ac:dyDescent="0.25">
      <c r="A52" s="93" t="s">
        <v>85</v>
      </c>
      <c r="B52" s="162"/>
      <c r="C52" s="4">
        <v>3</v>
      </c>
      <c r="D52" s="78">
        <f>IF('3'!E7="","",'3'!E7)</f>
        <v>46246</v>
      </c>
      <c r="E52" s="85"/>
      <c r="F52" s="85"/>
    </row>
    <row r="53" spans="1:6" x14ac:dyDescent="0.25">
      <c r="A53" s="93" t="s">
        <v>85</v>
      </c>
      <c r="B53" s="162"/>
      <c r="C53" s="4">
        <v>4</v>
      </c>
      <c r="D53" s="78">
        <f>IF('3'!E8="","",'3'!E8)</f>
        <v>46239</v>
      </c>
      <c r="E53" s="90" t="s">
        <v>91</v>
      </c>
      <c r="F53" s="85"/>
    </row>
    <row r="54" spans="1:6" hidden="1" x14ac:dyDescent="0.25">
      <c r="A54" s="93" t="s">
        <v>85</v>
      </c>
      <c r="B54" s="162"/>
      <c r="C54" s="4">
        <v>5</v>
      </c>
      <c r="D54" s="78">
        <f>IF('3'!E9="","",'3'!E9)</f>
        <v>46247</v>
      </c>
      <c r="E54" s="85"/>
      <c r="F54" s="85"/>
    </row>
    <row r="55" spans="1:6" hidden="1" x14ac:dyDescent="0.25">
      <c r="A55" s="93" t="s">
        <v>85</v>
      </c>
      <c r="B55" s="162"/>
      <c r="C55" s="4">
        <v>6</v>
      </c>
      <c r="D55" s="78">
        <f>IF('3'!E10="","",'3'!E10)</f>
        <v>46249</v>
      </c>
      <c r="E55" s="85"/>
      <c r="F55" s="85"/>
    </row>
    <row r="56" spans="1:6" hidden="1" x14ac:dyDescent="0.25">
      <c r="A56" s="93" t="s">
        <v>85</v>
      </c>
      <c r="B56" s="162"/>
      <c r="C56" s="4">
        <v>7</v>
      </c>
      <c r="D56" s="78">
        <f>IF('3'!E11="","",'3'!E11)</f>
        <v>46244</v>
      </c>
      <c r="E56" s="85"/>
      <c r="F56" s="85"/>
    </row>
    <row r="57" spans="1:6" hidden="1" x14ac:dyDescent="0.25">
      <c r="A57" s="93" t="s">
        <v>85</v>
      </c>
      <c r="B57" s="162"/>
      <c r="C57" s="4">
        <v>8</v>
      </c>
      <c r="D57" s="78">
        <f>IF('3'!E12="","",'3'!E12)</f>
        <v>46248</v>
      </c>
      <c r="E57" s="85"/>
      <c r="F57" s="85"/>
    </row>
    <row r="58" spans="1:6" hidden="1" x14ac:dyDescent="0.25">
      <c r="A58" s="93" t="s">
        <v>85</v>
      </c>
      <c r="B58" s="162"/>
      <c r="C58" s="4">
        <v>9</v>
      </c>
      <c r="D58" s="78">
        <f>IF('3'!E13="","",'3'!E13)</f>
        <v>46241</v>
      </c>
      <c r="E58" s="85"/>
      <c r="F58" s="85"/>
    </row>
    <row r="59" spans="1:6" x14ac:dyDescent="0.25">
      <c r="A59" s="93" t="s">
        <v>85</v>
      </c>
      <c r="B59" s="162"/>
      <c r="C59" s="4">
        <v>10</v>
      </c>
      <c r="D59" s="78">
        <f>IF('3'!E14="","",'3'!E14)</f>
        <v>46237</v>
      </c>
      <c r="E59" s="90" t="s">
        <v>91</v>
      </c>
      <c r="F59" s="85"/>
    </row>
    <row r="60" spans="1:6" hidden="1" x14ac:dyDescent="0.25">
      <c r="A60" s="93" t="s">
        <v>85</v>
      </c>
      <c r="B60" s="162"/>
      <c r="C60" s="4">
        <v>11</v>
      </c>
      <c r="D60" s="78">
        <f>IF('3'!E15="","",'3'!E15)</f>
        <v>46240</v>
      </c>
      <c r="E60" s="85"/>
      <c r="F60" s="85"/>
    </row>
    <row r="61" spans="1:6" x14ac:dyDescent="0.25">
      <c r="A61" s="93" t="s">
        <v>85</v>
      </c>
      <c r="B61" s="162"/>
      <c r="C61" s="4">
        <v>12</v>
      </c>
      <c r="D61" s="78">
        <f>IF('3'!E16="","",'3'!E16)</f>
        <v>46238</v>
      </c>
      <c r="E61" s="90" t="s">
        <v>91</v>
      </c>
      <c r="F61" s="85"/>
    </row>
    <row r="62" spans="1:6" x14ac:dyDescent="0.25">
      <c r="A62" s="93" t="s">
        <v>85</v>
      </c>
      <c r="B62" s="162"/>
      <c r="C62" s="4">
        <v>13</v>
      </c>
      <c r="D62" s="78">
        <f>IF('3'!E17="","",'3'!E17)</f>
        <v>46239</v>
      </c>
      <c r="E62" s="90" t="s">
        <v>91</v>
      </c>
      <c r="F62" s="85"/>
    </row>
    <row r="63" spans="1:6" hidden="1" x14ac:dyDescent="0.25">
      <c r="A63" s="93" t="s">
        <v>85</v>
      </c>
      <c r="B63" s="162"/>
      <c r="C63" s="4">
        <v>14</v>
      </c>
      <c r="D63" s="78">
        <f>IF('3'!E18="","",'3'!E18)</f>
        <v>46241</v>
      </c>
      <c r="E63" s="85"/>
      <c r="F63" s="85"/>
    </row>
    <row r="64" spans="1:6" hidden="1" x14ac:dyDescent="0.25">
      <c r="A64" s="93" t="s">
        <v>85</v>
      </c>
      <c r="B64" s="162"/>
      <c r="C64" s="4">
        <v>15</v>
      </c>
      <c r="D64" s="78">
        <f>IF('3'!E19="","",'3'!E19)</f>
        <v>46240</v>
      </c>
      <c r="E64" s="85"/>
      <c r="F64" s="85"/>
    </row>
    <row r="65" spans="1:6" x14ac:dyDescent="0.25">
      <c r="A65" s="93" t="s">
        <v>85</v>
      </c>
      <c r="B65" s="162"/>
      <c r="C65" s="4">
        <v>16</v>
      </c>
      <c r="D65" s="78">
        <f>IF('3'!E20="","",'3'!E20)</f>
        <v>46238</v>
      </c>
      <c r="E65" s="90" t="s">
        <v>91</v>
      </c>
      <c r="F65" s="85"/>
    </row>
    <row r="66" spans="1:6" hidden="1" x14ac:dyDescent="0.25">
      <c r="A66" s="93" t="s">
        <v>85</v>
      </c>
      <c r="B66" s="162"/>
      <c r="C66" s="4">
        <v>17</v>
      </c>
      <c r="D66" s="78">
        <f>IF('3'!E21="","",'3'!E21)</f>
        <v>46244</v>
      </c>
      <c r="E66" s="85"/>
      <c r="F66" s="85"/>
    </row>
    <row r="67" spans="1:6" hidden="1" x14ac:dyDescent="0.25">
      <c r="A67" s="93" t="s">
        <v>85</v>
      </c>
      <c r="B67" s="162"/>
      <c r="C67" s="4">
        <v>18</v>
      </c>
      <c r="D67" s="78">
        <f>IF('3'!E22="","",'3'!E22)</f>
        <v>46246</v>
      </c>
      <c r="E67" s="85"/>
      <c r="F67" s="85"/>
    </row>
    <row r="68" spans="1:6" hidden="1" x14ac:dyDescent="0.25">
      <c r="A68" s="93" t="s">
        <v>85</v>
      </c>
      <c r="B68" s="162"/>
      <c r="C68" s="4">
        <v>19</v>
      </c>
      <c r="D68" s="78">
        <f>IF('3'!E23="","",'3'!E23)</f>
        <v>46243</v>
      </c>
      <c r="E68" s="85"/>
      <c r="F68" s="85"/>
    </row>
    <row r="69" spans="1:6" hidden="1" x14ac:dyDescent="0.25">
      <c r="A69" s="93" t="s">
        <v>85</v>
      </c>
      <c r="B69" s="162"/>
      <c r="C69" s="4">
        <v>20</v>
      </c>
      <c r="D69" s="78">
        <f>IF('3'!E24="","",'3'!E24)</f>
        <v>46247</v>
      </c>
      <c r="E69" s="85"/>
      <c r="F69" s="85"/>
    </row>
    <row r="70" spans="1:6" hidden="1" x14ac:dyDescent="0.25">
      <c r="A70" s="93" t="s">
        <v>85</v>
      </c>
      <c r="B70" s="162"/>
      <c r="C70" s="4">
        <v>21</v>
      </c>
      <c r="D70" s="78">
        <f>IF('3'!E25="","",'3'!E25)</f>
        <v>46242</v>
      </c>
      <c r="E70" s="85"/>
      <c r="F70" s="85"/>
    </row>
    <row r="71" spans="1:6" hidden="1" x14ac:dyDescent="0.25">
      <c r="A71" s="93" t="s">
        <v>85</v>
      </c>
      <c r="B71" s="162"/>
      <c r="C71" s="4">
        <v>22</v>
      </c>
      <c r="D71" s="78">
        <f>IF('3'!E26="","",'3'!E26)</f>
        <v>46241</v>
      </c>
      <c r="E71" s="85"/>
      <c r="F71" s="85"/>
    </row>
    <row r="72" spans="1:6" hidden="1" x14ac:dyDescent="0.25">
      <c r="A72" s="93" t="s">
        <v>85</v>
      </c>
      <c r="B72" s="162"/>
      <c r="C72" s="4">
        <v>23</v>
      </c>
      <c r="D72" s="78">
        <f>IF('3'!E27="","",'3'!E27)</f>
        <v>46245</v>
      </c>
      <c r="E72" s="85"/>
      <c r="F72" s="85"/>
    </row>
    <row r="73" spans="1:6" hidden="1" x14ac:dyDescent="0.25">
      <c r="A73" s="93" t="s">
        <v>85</v>
      </c>
      <c r="B73" s="163"/>
      <c r="C73" s="4">
        <v>24</v>
      </c>
      <c r="D73" s="78">
        <f>IF('3'!E28="","",'3'!E28)</f>
        <v>46250</v>
      </c>
      <c r="E73" s="85"/>
      <c r="F73" s="85"/>
    </row>
    <row r="74" spans="1:6" hidden="1" x14ac:dyDescent="0.25">
      <c r="A74" s="94" t="s">
        <v>22</v>
      </c>
      <c r="B74" s="161" t="s">
        <v>22</v>
      </c>
      <c r="C74" s="4">
        <v>1</v>
      </c>
      <c r="D74" s="78" t="str">
        <f>IF('4'!E5="","",'4'!E5)</f>
        <v/>
      </c>
      <c r="E74" s="85"/>
      <c r="F74" s="85"/>
    </row>
    <row r="75" spans="1:6" hidden="1" x14ac:dyDescent="0.25">
      <c r="A75" s="94" t="s">
        <v>22</v>
      </c>
      <c r="B75" s="162"/>
      <c r="C75" s="4">
        <v>2</v>
      </c>
      <c r="D75" s="78" t="str">
        <f>IF('4'!E6="","",'4'!E6)</f>
        <v/>
      </c>
      <c r="E75" s="85"/>
      <c r="F75" s="85"/>
    </row>
    <row r="76" spans="1:6" hidden="1" x14ac:dyDescent="0.25">
      <c r="A76" s="94" t="s">
        <v>22</v>
      </c>
      <c r="B76" s="162"/>
      <c r="C76" s="4">
        <v>3</v>
      </c>
      <c r="D76" s="78" t="str">
        <f>IF('4'!E7="","",'4'!E7)</f>
        <v/>
      </c>
      <c r="E76" s="85"/>
      <c r="F76" s="85"/>
    </row>
    <row r="77" spans="1:6" hidden="1" x14ac:dyDescent="0.25">
      <c r="A77" s="94" t="s">
        <v>22</v>
      </c>
      <c r="B77" s="162"/>
      <c r="C77" s="4">
        <v>4</v>
      </c>
      <c r="D77" s="78" t="str">
        <f>IF('4'!E8="","",'4'!E8)</f>
        <v/>
      </c>
      <c r="E77" s="85"/>
      <c r="F77" s="85"/>
    </row>
    <row r="78" spans="1:6" hidden="1" x14ac:dyDescent="0.25">
      <c r="A78" s="94" t="s">
        <v>22</v>
      </c>
      <c r="B78" s="162"/>
      <c r="C78" s="4">
        <v>5</v>
      </c>
      <c r="D78" s="78" t="str">
        <f>IF('4'!E9="","",'4'!E9)</f>
        <v/>
      </c>
      <c r="E78" s="85"/>
      <c r="F78" s="85"/>
    </row>
    <row r="79" spans="1:6" hidden="1" x14ac:dyDescent="0.25">
      <c r="A79" s="94" t="s">
        <v>22</v>
      </c>
      <c r="B79" s="162"/>
      <c r="C79" s="4">
        <v>6</v>
      </c>
      <c r="D79" s="78" t="str">
        <f>IF('4'!E10="","",'4'!E10)</f>
        <v/>
      </c>
      <c r="E79" s="85"/>
      <c r="F79" s="85"/>
    </row>
    <row r="80" spans="1:6" hidden="1" x14ac:dyDescent="0.25">
      <c r="A80" s="94" t="s">
        <v>22</v>
      </c>
      <c r="B80" s="162"/>
      <c r="C80" s="4">
        <v>7</v>
      </c>
      <c r="D80" s="78" t="str">
        <f>IF('4'!E11="","",'4'!E11)</f>
        <v/>
      </c>
      <c r="E80" s="85"/>
      <c r="F80" s="85"/>
    </row>
    <row r="81" spans="1:6" hidden="1" x14ac:dyDescent="0.25">
      <c r="A81" s="94" t="s">
        <v>22</v>
      </c>
      <c r="B81" s="162"/>
      <c r="C81" s="4">
        <v>8</v>
      </c>
      <c r="D81" s="78" t="str">
        <f>IF('4'!E12="","",'4'!E12)</f>
        <v/>
      </c>
      <c r="E81" s="85"/>
      <c r="F81" s="85"/>
    </row>
    <row r="82" spans="1:6" hidden="1" x14ac:dyDescent="0.25">
      <c r="A82" s="94" t="s">
        <v>22</v>
      </c>
      <c r="B82" s="162"/>
      <c r="C82" s="4">
        <v>9</v>
      </c>
      <c r="D82" s="78" t="str">
        <f>IF('4'!E13="","",'4'!E13)</f>
        <v/>
      </c>
      <c r="E82" s="85"/>
      <c r="F82" s="85"/>
    </row>
    <row r="83" spans="1:6" hidden="1" x14ac:dyDescent="0.25">
      <c r="A83" s="94" t="s">
        <v>22</v>
      </c>
      <c r="B83" s="162"/>
      <c r="C83" s="4">
        <v>10</v>
      </c>
      <c r="D83" s="78" t="str">
        <f>IF('4'!E14="","",'4'!E14)</f>
        <v/>
      </c>
      <c r="E83" s="85"/>
      <c r="F83" s="85"/>
    </row>
    <row r="84" spans="1:6" hidden="1" x14ac:dyDescent="0.25">
      <c r="A84" s="94" t="s">
        <v>22</v>
      </c>
      <c r="B84" s="162"/>
      <c r="C84" s="4">
        <v>11</v>
      </c>
      <c r="D84" s="78" t="str">
        <f>IF('4'!E15="","",'4'!E15)</f>
        <v/>
      </c>
      <c r="E84" s="85"/>
      <c r="F84" s="85"/>
    </row>
    <row r="85" spans="1:6" hidden="1" x14ac:dyDescent="0.25">
      <c r="A85" s="94" t="s">
        <v>22</v>
      </c>
      <c r="B85" s="162"/>
      <c r="C85" s="4">
        <v>12</v>
      </c>
      <c r="D85" s="78" t="str">
        <f>IF('4'!E16="","",'4'!E16)</f>
        <v/>
      </c>
      <c r="E85" s="85"/>
      <c r="F85" s="85"/>
    </row>
    <row r="86" spans="1:6" hidden="1" x14ac:dyDescent="0.25">
      <c r="A86" s="94" t="s">
        <v>22</v>
      </c>
      <c r="B86" s="162"/>
      <c r="C86" s="4">
        <v>13</v>
      </c>
      <c r="D86" s="78" t="str">
        <f>IF('4'!E17="","",'4'!E17)</f>
        <v/>
      </c>
      <c r="E86" s="85"/>
      <c r="F86" s="85"/>
    </row>
    <row r="87" spans="1:6" hidden="1" x14ac:dyDescent="0.25">
      <c r="A87" s="94" t="s">
        <v>22</v>
      </c>
      <c r="B87" s="162"/>
      <c r="C87" s="4">
        <v>14</v>
      </c>
      <c r="D87" s="78" t="str">
        <f>IF('4'!E18="","",'4'!E18)</f>
        <v/>
      </c>
      <c r="E87" s="85"/>
      <c r="F87" s="85"/>
    </row>
    <row r="88" spans="1:6" hidden="1" x14ac:dyDescent="0.25">
      <c r="A88" s="94" t="s">
        <v>22</v>
      </c>
      <c r="B88" s="162"/>
      <c r="C88" s="4">
        <v>15</v>
      </c>
      <c r="D88" s="78" t="str">
        <f>IF('4'!E19="","",'4'!E19)</f>
        <v/>
      </c>
      <c r="E88" s="85"/>
      <c r="F88" s="85"/>
    </row>
    <row r="89" spans="1:6" hidden="1" x14ac:dyDescent="0.25">
      <c r="A89" s="94" t="s">
        <v>22</v>
      </c>
      <c r="B89" s="162"/>
      <c r="C89" s="4">
        <v>16</v>
      </c>
      <c r="D89" s="78" t="str">
        <f>IF('4'!E20="","",'4'!E20)</f>
        <v/>
      </c>
      <c r="E89" s="85"/>
      <c r="F89" s="85"/>
    </row>
    <row r="90" spans="1:6" hidden="1" x14ac:dyDescent="0.25">
      <c r="A90" s="94" t="s">
        <v>22</v>
      </c>
      <c r="B90" s="162"/>
      <c r="C90" s="4">
        <v>17</v>
      </c>
      <c r="D90" s="78" t="str">
        <f>IF('4'!E21="","",'4'!E21)</f>
        <v/>
      </c>
      <c r="E90" s="85"/>
      <c r="F90" s="85"/>
    </row>
    <row r="91" spans="1:6" hidden="1" x14ac:dyDescent="0.25">
      <c r="A91" s="94" t="s">
        <v>22</v>
      </c>
      <c r="B91" s="162"/>
      <c r="C91" s="4">
        <v>18</v>
      </c>
      <c r="D91" s="78" t="str">
        <f>IF('4'!E22="","",'4'!E22)</f>
        <v/>
      </c>
      <c r="E91" s="85"/>
      <c r="F91" s="85"/>
    </row>
    <row r="92" spans="1:6" hidden="1" x14ac:dyDescent="0.25">
      <c r="A92" s="94" t="s">
        <v>22</v>
      </c>
      <c r="B92" s="162"/>
      <c r="C92" s="4">
        <v>19</v>
      </c>
      <c r="D92" s="78" t="str">
        <f>IF('4'!E23="","",'4'!E23)</f>
        <v/>
      </c>
      <c r="E92" s="85"/>
      <c r="F92" s="85"/>
    </row>
    <row r="93" spans="1:6" hidden="1" x14ac:dyDescent="0.25">
      <c r="A93" s="94" t="s">
        <v>22</v>
      </c>
      <c r="B93" s="162"/>
      <c r="C93" s="4">
        <v>20</v>
      </c>
      <c r="D93" s="78" t="str">
        <f>IF('4'!E24="","",'4'!E24)</f>
        <v/>
      </c>
      <c r="E93" s="85"/>
      <c r="F93" s="85"/>
    </row>
    <row r="94" spans="1:6" hidden="1" x14ac:dyDescent="0.25">
      <c r="A94" s="94" t="s">
        <v>22</v>
      </c>
      <c r="B94" s="162"/>
      <c r="C94" s="4">
        <v>21</v>
      </c>
      <c r="D94" s="78" t="str">
        <f>IF('4'!E25="","",'4'!E25)</f>
        <v/>
      </c>
      <c r="E94" s="85"/>
      <c r="F94" s="85"/>
    </row>
    <row r="95" spans="1:6" hidden="1" x14ac:dyDescent="0.25">
      <c r="A95" s="94" t="s">
        <v>22</v>
      </c>
      <c r="B95" s="162"/>
      <c r="C95" s="4">
        <v>22</v>
      </c>
      <c r="D95" s="78" t="str">
        <f>IF('4'!E26="","",'4'!E26)</f>
        <v/>
      </c>
      <c r="E95" s="85"/>
      <c r="F95" s="85"/>
    </row>
    <row r="96" spans="1:6" hidden="1" x14ac:dyDescent="0.25">
      <c r="A96" s="94" t="s">
        <v>22</v>
      </c>
      <c r="B96" s="162"/>
      <c r="C96" s="4">
        <v>23</v>
      </c>
      <c r="D96" s="78" t="str">
        <f>IF('4'!E27="","",'4'!E27)</f>
        <v/>
      </c>
      <c r="E96" s="85"/>
      <c r="F96" s="85"/>
    </row>
    <row r="97" spans="1:6" hidden="1" x14ac:dyDescent="0.25">
      <c r="A97" s="94" t="s">
        <v>22</v>
      </c>
      <c r="B97" s="163"/>
      <c r="C97" s="4">
        <v>24</v>
      </c>
      <c r="D97" s="78" t="str">
        <f>IF('4'!E28="","",'4'!E28)</f>
        <v/>
      </c>
      <c r="E97" s="85"/>
      <c r="F97" s="85"/>
    </row>
    <row r="98" spans="1:6" hidden="1" x14ac:dyDescent="0.25">
      <c r="A98" s="3" t="s">
        <v>86</v>
      </c>
      <c r="B98" s="161" t="s">
        <v>86</v>
      </c>
      <c r="C98" s="4">
        <v>1</v>
      </c>
      <c r="D98" s="78">
        <f>IF('5'!E5="","",'5'!E5)</f>
        <v>46253</v>
      </c>
      <c r="E98" s="85"/>
      <c r="F98" s="85"/>
    </row>
    <row r="99" spans="1:6" hidden="1" x14ac:dyDescent="0.25">
      <c r="A99" s="3" t="s">
        <v>86</v>
      </c>
      <c r="B99" s="162"/>
      <c r="C99" s="4">
        <v>2</v>
      </c>
      <c r="D99" s="78" t="str">
        <f>IF('5'!E6="","",'5'!E6)</f>
        <v/>
      </c>
      <c r="E99" s="85"/>
      <c r="F99" s="85"/>
    </row>
    <row r="100" spans="1:6" hidden="1" x14ac:dyDescent="0.25">
      <c r="A100" s="3" t="s">
        <v>86</v>
      </c>
      <c r="B100" s="162"/>
      <c r="C100" s="4">
        <v>3</v>
      </c>
      <c r="D100" s="78" t="str">
        <f>IF('5'!E7="","",'5'!E7)</f>
        <v/>
      </c>
      <c r="E100" s="85"/>
      <c r="F100" s="85"/>
    </row>
    <row r="101" spans="1:6" hidden="1" x14ac:dyDescent="0.25">
      <c r="A101" s="3" t="s">
        <v>86</v>
      </c>
      <c r="B101" s="162"/>
      <c r="C101" s="4">
        <v>4</v>
      </c>
      <c r="D101" s="78" t="str">
        <f>IF('5'!E8="","",'5'!E8)</f>
        <v/>
      </c>
      <c r="E101" s="85"/>
      <c r="F101" s="85"/>
    </row>
    <row r="102" spans="1:6" hidden="1" x14ac:dyDescent="0.25">
      <c r="A102" s="3" t="s">
        <v>86</v>
      </c>
      <c r="B102" s="162"/>
      <c r="C102" s="4">
        <v>5</v>
      </c>
      <c r="D102" s="78">
        <f>IF('5'!E9="","",'5'!E9)</f>
        <v>46252</v>
      </c>
      <c r="E102" s="85"/>
      <c r="F102" s="85"/>
    </row>
    <row r="103" spans="1:6" hidden="1" x14ac:dyDescent="0.25">
      <c r="A103" s="3" t="s">
        <v>86</v>
      </c>
      <c r="B103" s="162"/>
      <c r="C103" s="4">
        <v>6</v>
      </c>
      <c r="D103" s="78" t="str">
        <f>IF('5'!E10="","",'5'!E10)</f>
        <v/>
      </c>
      <c r="E103" s="85"/>
      <c r="F103" s="85"/>
    </row>
    <row r="104" spans="1:6" hidden="1" x14ac:dyDescent="0.25">
      <c r="A104" s="3" t="s">
        <v>86</v>
      </c>
      <c r="B104" s="162"/>
      <c r="C104" s="4">
        <v>7</v>
      </c>
      <c r="D104" s="78" t="str">
        <f>IF('5'!E11="","",'5'!E11)</f>
        <v/>
      </c>
      <c r="E104" s="85"/>
      <c r="F104" s="85"/>
    </row>
    <row r="105" spans="1:6" hidden="1" x14ac:dyDescent="0.25">
      <c r="A105" s="3" t="s">
        <v>86</v>
      </c>
      <c r="B105" s="162"/>
      <c r="C105" s="4">
        <v>8</v>
      </c>
      <c r="D105" s="78" t="str">
        <f>IF('5'!E12="","",'5'!E12)</f>
        <v/>
      </c>
      <c r="E105" s="85"/>
      <c r="F105" s="85"/>
    </row>
    <row r="106" spans="1:6" hidden="1" x14ac:dyDescent="0.25">
      <c r="A106" s="3" t="s">
        <v>86</v>
      </c>
      <c r="B106" s="162"/>
      <c r="C106" s="4">
        <v>9</v>
      </c>
      <c r="D106" s="78" t="str">
        <f>IF('5'!E13="","",'5'!E13)</f>
        <v/>
      </c>
      <c r="E106" s="85"/>
      <c r="F106" s="85"/>
    </row>
    <row r="107" spans="1:6" hidden="1" x14ac:dyDescent="0.25">
      <c r="A107" s="3" t="s">
        <v>86</v>
      </c>
      <c r="B107" s="162"/>
      <c r="C107" s="4">
        <v>10</v>
      </c>
      <c r="D107" s="78" t="str">
        <f>IF('5'!E14="","",'5'!E14)</f>
        <v/>
      </c>
      <c r="E107" s="85"/>
      <c r="F107" s="85"/>
    </row>
    <row r="108" spans="1:6" hidden="1" x14ac:dyDescent="0.25">
      <c r="A108" s="3" t="s">
        <v>86</v>
      </c>
      <c r="B108" s="162"/>
      <c r="C108" s="4">
        <v>11</v>
      </c>
      <c r="D108" s="78" t="str">
        <f>IF('5'!E15="","",'5'!E15)</f>
        <v/>
      </c>
      <c r="E108" s="85"/>
      <c r="F108" s="85"/>
    </row>
    <row r="109" spans="1:6" hidden="1" x14ac:dyDescent="0.25">
      <c r="A109" s="3" t="s">
        <v>86</v>
      </c>
      <c r="B109" s="162"/>
      <c r="C109" s="4">
        <v>12</v>
      </c>
      <c r="D109" s="78" t="str">
        <f>IF('5'!E16="","",'5'!E16)</f>
        <v/>
      </c>
      <c r="E109" s="85"/>
      <c r="F109" s="85"/>
    </row>
    <row r="110" spans="1:6" hidden="1" x14ac:dyDescent="0.25">
      <c r="A110" s="3" t="s">
        <v>86</v>
      </c>
      <c r="B110" s="162"/>
      <c r="C110" s="4">
        <v>13</v>
      </c>
      <c r="D110" s="78" t="str">
        <f>IF('5'!E17="","",'5'!E17)</f>
        <v/>
      </c>
      <c r="E110" s="85"/>
      <c r="F110" s="85"/>
    </row>
    <row r="111" spans="1:6" hidden="1" x14ac:dyDescent="0.25">
      <c r="A111" s="3" t="s">
        <v>86</v>
      </c>
      <c r="B111" s="162"/>
      <c r="C111" s="4">
        <v>14</v>
      </c>
      <c r="D111" s="78" t="str">
        <f>IF('5'!E18="","",'5'!E18)</f>
        <v/>
      </c>
      <c r="E111" s="85"/>
      <c r="F111" s="85"/>
    </row>
    <row r="112" spans="1:6" hidden="1" x14ac:dyDescent="0.25">
      <c r="A112" s="3" t="s">
        <v>86</v>
      </c>
      <c r="B112" s="162"/>
      <c r="C112" s="4">
        <v>15</v>
      </c>
      <c r="D112" s="78" t="str">
        <f>IF('5'!E19="","",'5'!E19)</f>
        <v/>
      </c>
      <c r="E112" s="85"/>
      <c r="F112" s="85"/>
    </row>
    <row r="113" spans="1:6" hidden="1" x14ac:dyDescent="0.25">
      <c r="A113" s="3" t="s">
        <v>86</v>
      </c>
      <c r="B113" s="162"/>
      <c r="C113" s="4">
        <v>16</v>
      </c>
      <c r="D113" s="78" t="str">
        <f>IF('5'!E20="","",'5'!E20)</f>
        <v/>
      </c>
      <c r="E113" s="85"/>
      <c r="F113" s="85"/>
    </row>
    <row r="114" spans="1:6" hidden="1" x14ac:dyDescent="0.25">
      <c r="A114" s="3" t="s">
        <v>86</v>
      </c>
      <c r="B114" s="162"/>
      <c r="C114" s="4">
        <v>17</v>
      </c>
      <c r="D114" s="78">
        <f>IF('5'!E21="","",'5'!E21)</f>
        <v>46251</v>
      </c>
      <c r="E114" s="85"/>
      <c r="F114" s="85"/>
    </row>
    <row r="115" spans="1:6" hidden="1" x14ac:dyDescent="0.25">
      <c r="A115" s="3" t="s">
        <v>86</v>
      </c>
      <c r="B115" s="162"/>
      <c r="C115" s="4">
        <v>18</v>
      </c>
      <c r="D115" s="78" t="str">
        <f>IF('5'!E22="","",'5'!E22)</f>
        <v/>
      </c>
      <c r="E115" s="85"/>
      <c r="F115" s="85"/>
    </row>
    <row r="116" spans="1:6" hidden="1" x14ac:dyDescent="0.25">
      <c r="A116" s="3" t="s">
        <v>86</v>
      </c>
      <c r="B116" s="162"/>
      <c r="C116" s="4">
        <v>19</v>
      </c>
      <c r="D116" s="78">
        <f>IF('5'!E23="","",'5'!E23)</f>
        <v>46250</v>
      </c>
      <c r="E116" s="85"/>
      <c r="F116" s="85"/>
    </row>
    <row r="117" spans="1:6" hidden="1" x14ac:dyDescent="0.25">
      <c r="A117" s="3" t="s">
        <v>86</v>
      </c>
      <c r="B117" s="162"/>
      <c r="C117" s="4">
        <v>20</v>
      </c>
      <c r="D117" s="78" t="str">
        <f>IF('5'!E24="","",'5'!E24)</f>
        <v/>
      </c>
      <c r="E117" s="85"/>
      <c r="F117" s="85"/>
    </row>
    <row r="118" spans="1:6" hidden="1" x14ac:dyDescent="0.25">
      <c r="A118" s="3" t="s">
        <v>86</v>
      </c>
      <c r="B118" s="162"/>
      <c r="C118" s="4">
        <v>21</v>
      </c>
      <c r="D118" s="78">
        <f>IF('5'!E25="","",'5'!E25)</f>
        <v>46249</v>
      </c>
      <c r="E118" s="85"/>
      <c r="F118" s="85"/>
    </row>
    <row r="119" spans="1:6" hidden="1" x14ac:dyDescent="0.25">
      <c r="A119" s="3" t="s">
        <v>86</v>
      </c>
      <c r="B119" s="162"/>
      <c r="C119" s="4">
        <v>22</v>
      </c>
      <c r="D119" s="78" t="str">
        <f>IF('5'!E26="","",'5'!E26)</f>
        <v/>
      </c>
      <c r="E119" s="85"/>
      <c r="F119" s="85"/>
    </row>
    <row r="120" spans="1:6" hidden="1" x14ac:dyDescent="0.25">
      <c r="A120" s="3" t="s">
        <v>86</v>
      </c>
      <c r="B120" s="162"/>
      <c r="C120" s="4">
        <v>23</v>
      </c>
      <c r="D120" s="78">
        <f>IF('5'!E27="","",'5'!E27)</f>
        <v>46252</v>
      </c>
      <c r="E120" s="85"/>
      <c r="F120" s="85"/>
    </row>
    <row r="121" spans="1:6" hidden="1" x14ac:dyDescent="0.25">
      <c r="A121" s="3" t="s">
        <v>86</v>
      </c>
      <c r="B121" s="163"/>
      <c r="C121" s="4">
        <v>24</v>
      </c>
      <c r="D121" s="78" t="str">
        <f>IF('5'!E28="","",'5'!E28)</f>
        <v/>
      </c>
      <c r="E121" s="85"/>
      <c r="F121" s="85"/>
    </row>
    <row r="122" spans="1:6" hidden="1" x14ac:dyDescent="0.25">
      <c r="A122" s="95" t="s">
        <v>6</v>
      </c>
      <c r="B122" s="161" t="s">
        <v>6</v>
      </c>
      <c r="C122" s="4">
        <v>1</v>
      </c>
      <c r="D122" s="78" t="str">
        <f>IF('6'!E5="","",'6'!E5)</f>
        <v/>
      </c>
      <c r="E122" s="85"/>
      <c r="F122" s="85"/>
    </row>
    <row r="123" spans="1:6" hidden="1" x14ac:dyDescent="0.25">
      <c r="A123" s="95" t="s">
        <v>6</v>
      </c>
      <c r="B123" s="162"/>
      <c r="C123" s="4">
        <v>2</v>
      </c>
      <c r="D123" s="78" t="str">
        <f>IF('6'!E6="","",'6'!E6)</f>
        <v/>
      </c>
      <c r="E123" s="85"/>
      <c r="F123" s="85"/>
    </row>
    <row r="124" spans="1:6" hidden="1" x14ac:dyDescent="0.25">
      <c r="A124" s="95" t="s">
        <v>6</v>
      </c>
      <c r="B124" s="162"/>
      <c r="C124" s="4">
        <v>3</v>
      </c>
      <c r="D124" s="78" t="str">
        <f>IF('6'!E7="","",'6'!E7)</f>
        <v/>
      </c>
      <c r="E124" s="85"/>
      <c r="F124" s="85"/>
    </row>
    <row r="125" spans="1:6" hidden="1" x14ac:dyDescent="0.25">
      <c r="A125" s="95" t="s">
        <v>6</v>
      </c>
      <c r="B125" s="162"/>
      <c r="C125" s="4">
        <v>4</v>
      </c>
      <c r="D125" s="78" t="str">
        <f>IF('6'!E8="","",'6'!E8)</f>
        <v/>
      </c>
      <c r="E125" s="85"/>
      <c r="F125" s="85"/>
    </row>
    <row r="126" spans="1:6" hidden="1" x14ac:dyDescent="0.25">
      <c r="A126" s="95" t="s">
        <v>6</v>
      </c>
      <c r="B126" s="162"/>
      <c r="C126" s="4">
        <v>5</v>
      </c>
      <c r="D126" s="78" t="str">
        <f>IF('6'!E9="","",'6'!E9)</f>
        <v/>
      </c>
      <c r="E126" s="85"/>
      <c r="F126" s="85"/>
    </row>
    <row r="127" spans="1:6" hidden="1" x14ac:dyDescent="0.25">
      <c r="A127" s="95" t="s">
        <v>6</v>
      </c>
      <c r="B127" s="162"/>
      <c r="C127" s="4">
        <v>6</v>
      </c>
      <c r="D127" s="78" t="str">
        <f>IF('6'!E10="","",'6'!E10)</f>
        <v/>
      </c>
      <c r="E127" s="85"/>
      <c r="F127" s="85"/>
    </row>
    <row r="128" spans="1:6" hidden="1" x14ac:dyDescent="0.25">
      <c r="A128" s="95" t="s">
        <v>6</v>
      </c>
      <c r="B128" s="162"/>
      <c r="C128" s="4">
        <v>7</v>
      </c>
      <c r="D128" s="78" t="str">
        <f>IF('6'!E11="","",'6'!E11)</f>
        <v/>
      </c>
      <c r="E128" s="85"/>
      <c r="F128" s="85"/>
    </row>
    <row r="129" spans="1:6" hidden="1" x14ac:dyDescent="0.25">
      <c r="A129" s="95" t="s">
        <v>6</v>
      </c>
      <c r="B129" s="162"/>
      <c r="C129" s="4">
        <v>8</v>
      </c>
      <c r="D129" s="78" t="str">
        <f>IF('6'!E12="","",'6'!E12)</f>
        <v/>
      </c>
      <c r="E129" s="85"/>
      <c r="F129" s="85"/>
    </row>
    <row r="130" spans="1:6" hidden="1" x14ac:dyDescent="0.25">
      <c r="A130" s="95" t="s">
        <v>6</v>
      </c>
      <c r="B130" s="162"/>
      <c r="C130" s="4">
        <v>9</v>
      </c>
      <c r="D130" s="78" t="str">
        <f>IF('6'!E13="","",'6'!E13)</f>
        <v/>
      </c>
      <c r="E130" s="85"/>
      <c r="F130" s="85"/>
    </row>
    <row r="131" spans="1:6" hidden="1" x14ac:dyDescent="0.25">
      <c r="A131" s="95" t="s">
        <v>6</v>
      </c>
      <c r="B131" s="162"/>
      <c r="C131" s="4">
        <v>10</v>
      </c>
      <c r="D131" s="78" t="str">
        <f>IF('6'!E14="","",'6'!E14)</f>
        <v/>
      </c>
      <c r="E131" s="85"/>
      <c r="F131" s="85"/>
    </row>
    <row r="132" spans="1:6" hidden="1" x14ac:dyDescent="0.25">
      <c r="A132" s="95" t="s">
        <v>6</v>
      </c>
      <c r="B132" s="162"/>
      <c r="C132" s="4">
        <v>11</v>
      </c>
      <c r="D132" s="78" t="str">
        <f>IF('6'!E15="","",'6'!E15)</f>
        <v/>
      </c>
      <c r="E132" s="85"/>
      <c r="F132" s="85"/>
    </row>
    <row r="133" spans="1:6" hidden="1" x14ac:dyDescent="0.25">
      <c r="A133" s="95" t="s">
        <v>6</v>
      </c>
      <c r="B133" s="162"/>
      <c r="C133" s="4">
        <v>12</v>
      </c>
      <c r="D133" s="78" t="str">
        <f>IF('6'!E16="","",'6'!E16)</f>
        <v/>
      </c>
      <c r="E133" s="85"/>
      <c r="F133" s="85"/>
    </row>
    <row r="134" spans="1:6" hidden="1" x14ac:dyDescent="0.25">
      <c r="A134" s="95" t="s">
        <v>6</v>
      </c>
      <c r="B134" s="162"/>
      <c r="C134" s="4">
        <v>13</v>
      </c>
      <c r="D134" s="78" t="str">
        <f>IF('6'!E17="","",'6'!E17)</f>
        <v/>
      </c>
      <c r="E134" s="85"/>
      <c r="F134" s="85"/>
    </row>
    <row r="135" spans="1:6" hidden="1" x14ac:dyDescent="0.25">
      <c r="A135" s="95" t="s">
        <v>6</v>
      </c>
      <c r="B135" s="162"/>
      <c r="C135" s="4">
        <v>14</v>
      </c>
      <c r="D135" s="78" t="str">
        <f>IF('6'!E18="","",'6'!E18)</f>
        <v/>
      </c>
      <c r="E135" s="85"/>
      <c r="F135" s="85"/>
    </row>
    <row r="136" spans="1:6" hidden="1" x14ac:dyDescent="0.25">
      <c r="A136" s="95" t="s">
        <v>6</v>
      </c>
      <c r="B136" s="162"/>
      <c r="C136" s="4">
        <v>15</v>
      </c>
      <c r="D136" s="78" t="str">
        <f>IF('6'!E19="","",'6'!E19)</f>
        <v/>
      </c>
      <c r="E136" s="85"/>
      <c r="F136" s="85"/>
    </row>
    <row r="137" spans="1:6" hidden="1" x14ac:dyDescent="0.25">
      <c r="A137" s="95" t="s">
        <v>6</v>
      </c>
      <c r="B137" s="162"/>
      <c r="C137" s="4">
        <v>16</v>
      </c>
      <c r="D137" s="78" t="str">
        <f>IF('6'!E20="","",'6'!E20)</f>
        <v/>
      </c>
      <c r="E137" s="85"/>
      <c r="F137" s="85"/>
    </row>
    <row r="138" spans="1:6" hidden="1" x14ac:dyDescent="0.25">
      <c r="A138" s="95" t="s">
        <v>6</v>
      </c>
      <c r="B138" s="162"/>
      <c r="C138" s="4">
        <v>17</v>
      </c>
      <c r="D138" s="78" t="str">
        <f>IF('6'!E21="","",'6'!E21)</f>
        <v/>
      </c>
      <c r="E138" s="85"/>
      <c r="F138" s="85"/>
    </row>
    <row r="139" spans="1:6" hidden="1" x14ac:dyDescent="0.25">
      <c r="A139" s="95" t="s">
        <v>6</v>
      </c>
      <c r="B139" s="162"/>
      <c r="C139" s="4">
        <v>18</v>
      </c>
      <c r="D139" s="78" t="str">
        <f>IF('6'!E22="","",'6'!E22)</f>
        <v/>
      </c>
      <c r="E139" s="85"/>
      <c r="F139" s="85"/>
    </row>
    <row r="140" spans="1:6" hidden="1" x14ac:dyDescent="0.25">
      <c r="A140" s="95" t="s">
        <v>6</v>
      </c>
      <c r="B140" s="162"/>
      <c r="C140" s="4">
        <v>19</v>
      </c>
      <c r="D140" s="78" t="str">
        <f>IF('6'!E23="","",'6'!E23)</f>
        <v/>
      </c>
      <c r="E140" s="85"/>
      <c r="F140" s="85"/>
    </row>
    <row r="141" spans="1:6" hidden="1" x14ac:dyDescent="0.25">
      <c r="A141" s="95" t="s">
        <v>6</v>
      </c>
      <c r="B141" s="162"/>
      <c r="C141" s="4">
        <v>20</v>
      </c>
      <c r="D141" s="78" t="str">
        <f>IF('6'!E24="","",'6'!E24)</f>
        <v/>
      </c>
      <c r="E141" s="85"/>
      <c r="F141" s="85"/>
    </row>
    <row r="142" spans="1:6" hidden="1" x14ac:dyDescent="0.25">
      <c r="A142" s="95" t="s">
        <v>6</v>
      </c>
      <c r="B142" s="162"/>
      <c r="C142" s="4">
        <v>21</v>
      </c>
      <c r="D142" s="78" t="str">
        <f>IF('6'!E25="","",'6'!E25)</f>
        <v/>
      </c>
      <c r="E142" s="85"/>
      <c r="F142" s="85"/>
    </row>
    <row r="143" spans="1:6" hidden="1" x14ac:dyDescent="0.25">
      <c r="A143" s="95" t="s">
        <v>6</v>
      </c>
      <c r="B143" s="162"/>
      <c r="C143" s="4">
        <v>22</v>
      </c>
      <c r="D143" s="78" t="str">
        <f>IF('6'!E26="","",'6'!E26)</f>
        <v/>
      </c>
      <c r="E143" s="85"/>
      <c r="F143" s="85"/>
    </row>
    <row r="144" spans="1:6" hidden="1" x14ac:dyDescent="0.25">
      <c r="A144" s="95" t="s">
        <v>6</v>
      </c>
      <c r="B144" s="162"/>
      <c r="C144" s="4">
        <v>23</v>
      </c>
      <c r="D144" s="78" t="str">
        <f>IF('6'!E27="","",'6'!E27)</f>
        <v/>
      </c>
      <c r="E144" s="85"/>
      <c r="F144" s="85"/>
    </row>
    <row r="145" spans="1:6" hidden="1" x14ac:dyDescent="0.25">
      <c r="A145" s="95" t="s">
        <v>6</v>
      </c>
      <c r="B145" s="163"/>
      <c r="C145" s="4">
        <v>24</v>
      </c>
      <c r="D145" s="78" t="str">
        <f>IF('6'!E28="","",'6'!E28)</f>
        <v/>
      </c>
      <c r="E145" s="85"/>
      <c r="F145" s="85"/>
    </row>
    <row r="146" spans="1:6" hidden="1" x14ac:dyDescent="0.25">
      <c r="A146" s="96" t="s">
        <v>87</v>
      </c>
      <c r="B146" s="161" t="s">
        <v>87</v>
      </c>
      <c r="C146" s="4">
        <v>1</v>
      </c>
      <c r="D146" s="78">
        <f>IF('7'!E5="","",'7'!E5)</f>
        <v>46250</v>
      </c>
      <c r="E146" s="85"/>
      <c r="F146" s="85"/>
    </row>
    <row r="147" spans="1:6" hidden="1" x14ac:dyDescent="0.25">
      <c r="A147" s="96" t="s">
        <v>87</v>
      </c>
      <c r="B147" s="162"/>
      <c r="C147" s="4">
        <v>2</v>
      </c>
      <c r="D147" s="78" t="str">
        <f>IF('7'!E6="","",'7'!E6)</f>
        <v/>
      </c>
      <c r="E147" s="85"/>
      <c r="F147" s="85"/>
    </row>
    <row r="148" spans="1:6" hidden="1" x14ac:dyDescent="0.25">
      <c r="A148" s="96" t="s">
        <v>87</v>
      </c>
      <c r="B148" s="162"/>
      <c r="C148" s="4">
        <v>3</v>
      </c>
      <c r="D148" s="78">
        <f>IF('7'!E7="","",'7'!E7)</f>
        <v>46245</v>
      </c>
      <c r="E148" s="85"/>
      <c r="F148" s="85"/>
    </row>
    <row r="149" spans="1:6" hidden="1" x14ac:dyDescent="0.25">
      <c r="A149" s="96" t="s">
        <v>87</v>
      </c>
      <c r="B149" s="162"/>
      <c r="C149" s="4">
        <v>4</v>
      </c>
      <c r="D149" s="78">
        <f>IF('7'!E8="","",'7'!E8)</f>
        <v>46247</v>
      </c>
      <c r="E149" s="85"/>
      <c r="F149" s="85"/>
    </row>
    <row r="150" spans="1:6" hidden="1" x14ac:dyDescent="0.25">
      <c r="A150" s="96" t="s">
        <v>87</v>
      </c>
      <c r="B150" s="162"/>
      <c r="C150" s="4">
        <v>5</v>
      </c>
      <c r="D150" s="78">
        <f>IF('7'!E9="","",'7'!E9)</f>
        <v>46245</v>
      </c>
      <c r="E150" s="85"/>
      <c r="F150" s="85"/>
    </row>
    <row r="151" spans="1:6" hidden="1" x14ac:dyDescent="0.25">
      <c r="A151" s="96" t="s">
        <v>87</v>
      </c>
      <c r="B151" s="162"/>
      <c r="C151" s="4">
        <v>6</v>
      </c>
      <c r="D151" s="78">
        <f>IF('7'!E10="","",'7'!E10)</f>
        <v>46247</v>
      </c>
      <c r="E151" s="85"/>
      <c r="F151" s="85"/>
    </row>
    <row r="152" spans="1:6" hidden="1" x14ac:dyDescent="0.25">
      <c r="A152" s="96" t="s">
        <v>87</v>
      </c>
      <c r="B152" s="162"/>
      <c r="C152" s="4">
        <v>7</v>
      </c>
      <c r="D152" s="78">
        <f>IF('7'!E11="","",'7'!E11)</f>
        <v>46245</v>
      </c>
      <c r="E152" s="85"/>
      <c r="F152" s="85"/>
    </row>
    <row r="153" spans="1:6" hidden="1" x14ac:dyDescent="0.25">
      <c r="A153" s="96" t="s">
        <v>87</v>
      </c>
      <c r="B153" s="162"/>
      <c r="C153" s="4">
        <v>8</v>
      </c>
      <c r="D153" s="78">
        <f>IF('7'!E12="","",'7'!E12)</f>
        <v>46247</v>
      </c>
      <c r="E153" s="85"/>
      <c r="F153" s="85"/>
    </row>
    <row r="154" spans="1:6" hidden="1" x14ac:dyDescent="0.25">
      <c r="A154" s="96" t="s">
        <v>87</v>
      </c>
      <c r="B154" s="162"/>
      <c r="C154" s="4">
        <v>9</v>
      </c>
      <c r="D154" s="78">
        <f>IF('7'!E13="","",'7'!E13)</f>
        <v>46244</v>
      </c>
      <c r="E154" s="85"/>
      <c r="F154" s="85"/>
    </row>
    <row r="155" spans="1:6" hidden="1" x14ac:dyDescent="0.25">
      <c r="A155" s="96" t="s">
        <v>87</v>
      </c>
      <c r="B155" s="162"/>
      <c r="C155" s="4">
        <v>10</v>
      </c>
      <c r="D155" s="78">
        <f>IF('7'!E14="","",'7'!E14)</f>
        <v>46250</v>
      </c>
      <c r="E155" s="85"/>
      <c r="F155" s="85"/>
    </row>
    <row r="156" spans="1:6" hidden="1" x14ac:dyDescent="0.25">
      <c r="A156" s="96" t="s">
        <v>87</v>
      </c>
      <c r="B156" s="162"/>
      <c r="C156" s="4">
        <v>11</v>
      </c>
      <c r="D156" s="78">
        <f>IF('7'!E15="","",'7'!E15)</f>
        <v>46244</v>
      </c>
      <c r="E156" s="85"/>
      <c r="F156" s="85"/>
    </row>
    <row r="157" spans="1:6" hidden="1" x14ac:dyDescent="0.25">
      <c r="A157" s="96" t="s">
        <v>87</v>
      </c>
      <c r="B157" s="162"/>
      <c r="C157" s="4">
        <v>12</v>
      </c>
      <c r="D157" s="78">
        <f>IF('7'!E16="","",'7'!E16)</f>
        <v>46250</v>
      </c>
      <c r="E157" s="85"/>
      <c r="F157" s="85"/>
    </row>
    <row r="158" spans="1:6" hidden="1" x14ac:dyDescent="0.25">
      <c r="A158" s="96" t="s">
        <v>87</v>
      </c>
      <c r="B158" s="162"/>
      <c r="C158" s="4">
        <v>13</v>
      </c>
      <c r="D158" s="78">
        <f>IF('7'!E17="","",'7'!E17)</f>
        <v>46243</v>
      </c>
      <c r="E158" s="85"/>
      <c r="F158" s="85"/>
    </row>
    <row r="159" spans="1:6" hidden="1" x14ac:dyDescent="0.25">
      <c r="A159" s="96" t="s">
        <v>87</v>
      </c>
      <c r="B159" s="162"/>
      <c r="C159" s="4">
        <v>14</v>
      </c>
      <c r="D159" s="78" t="str">
        <f>IF('7'!E18="","",'7'!E18)</f>
        <v/>
      </c>
      <c r="E159" s="85"/>
      <c r="F159" s="85"/>
    </row>
    <row r="160" spans="1:6" hidden="1" x14ac:dyDescent="0.25">
      <c r="A160" s="96" t="s">
        <v>87</v>
      </c>
      <c r="B160" s="162"/>
      <c r="C160" s="4">
        <v>15</v>
      </c>
      <c r="D160" s="78">
        <f>IF('7'!E19="","",'7'!E19)</f>
        <v>46246</v>
      </c>
      <c r="E160" s="85"/>
      <c r="F160" s="85"/>
    </row>
    <row r="161" spans="1:6" hidden="1" x14ac:dyDescent="0.25">
      <c r="A161" s="96" t="s">
        <v>87</v>
      </c>
      <c r="B161" s="162"/>
      <c r="C161" s="4">
        <v>16</v>
      </c>
      <c r="D161" s="78">
        <f>IF('7'!E20="","",'7'!E20)</f>
        <v>46249</v>
      </c>
      <c r="E161" s="85"/>
      <c r="F161" s="85"/>
    </row>
    <row r="162" spans="1:6" hidden="1" x14ac:dyDescent="0.25">
      <c r="A162" s="96" t="s">
        <v>87</v>
      </c>
      <c r="B162" s="162"/>
      <c r="C162" s="4">
        <v>17</v>
      </c>
      <c r="D162" s="78">
        <f>IF('7'!E21="","",'7'!E21)</f>
        <v>46246</v>
      </c>
      <c r="E162" s="85"/>
      <c r="F162" s="85"/>
    </row>
    <row r="163" spans="1:6" hidden="1" x14ac:dyDescent="0.25">
      <c r="A163" s="96" t="s">
        <v>87</v>
      </c>
      <c r="B163" s="162"/>
      <c r="C163" s="4">
        <v>18</v>
      </c>
      <c r="D163" s="78">
        <f>IF('7'!E22="","",'7'!E22)</f>
        <v>46249</v>
      </c>
      <c r="E163" s="85"/>
      <c r="F163" s="85"/>
    </row>
    <row r="164" spans="1:6" hidden="1" x14ac:dyDescent="0.25">
      <c r="A164" s="96" t="s">
        <v>87</v>
      </c>
      <c r="B164" s="162"/>
      <c r="C164" s="4">
        <v>19</v>
      </c>
      <c r="D164" s="78">
        <f>IF('7'!E23="","",'7'!E23)</f>
        <v>46246</v>
      </c>
      <c r="E164" s="85"/>
      <c r="F164" s="85"/>
    </row>
    <row r="165" spans="1:6" hidden="1" x14ac:dyDescent="0.25">
      <c r="A165" s="96" t="s">
        <v>87</v>
      </c>
      <c r="B165" s="162"/>
      <c r="C165" s="4">
        <v>20</v>
      </c>
      <c r="D165" s="78">
        <f>IF('7'!E24="","",'7'!E24)</f>
        <v>46251</v>
      </c>
      <c r="E165" s="85"/>
      <c r="F165" s="85"/>
    </row>
    <row r="166" spans="1:6" hidden="1" x14ac:dyDescent="0.25">
      <c r="A166" s="96" t="s">
        <v>87</v>
      </c>
      <c r="B166" s="162"/>
      <c r="C166" s="4">
        <v>21</v>
      </c>
      <c r="D166" s="78">
        <f>IF('7'!E25="","",'7'!E25)</f>
        <v>46248</v>
      </c>
      <c r="E166" s="85"/>
      <c r="F166" s="85"/>
    </row>
    <row r="167" spans="1:6" hidden="1" x14ac:dyDescent="0.25">
      <c r="A167" s="96" t="s">
        <v>87</v>
      </c>
      <c r="B167" s="162"/>
      <c r="C167" s="4">
        <v>22</v>
      </c>
      <c r="D167" s="78">
        <f>IF('7'!E26="","",'7'!E26)</f>
        <v>46250</v>
      </c>
      <c r="E167" s="85"/>
      <c r="F167" s="85"/>
    </row>
    <row r="168" spans="1:6" hidden="1" x14ac:dyDescent="0.25">
      <c r="A168" s="96" t="s">
        <v>87</v>
      </c>
      <c r="B168" s="162"/>
      <c r="C168" s="4">
        <v>23</v>
      </c>
      <c r="D168" s="78">
        <f>IF('7'!E27="","",'7'!E27)</f>
        <v>46249</v>
      </c>
      <c r="E168" s="85"/>
      <c r="F168" s="85"/>
    </row>
    <row r="169" spans="1:6" hidden="1" x14ac:dyDescent="0.25">
      <c r="A169" s="96" t="s">
        <v>87</v>
      </c>
      <c r="B169" s="163"/>
      <c r="C169" s="4">
        <v>24</v>
      </c>
      <c r="D169" s="78" t="str">
        <f>IF('7'!E28="","",'7'!E28)</f>
        <v/>
      </c>
      <c r="E169" s="85"/>
      <c r="F169" s="85"/>
    </row>
    <row r="170" spans="1:6" hidden="1" x14ac:dyDescent="0.25">
      <c r="A170" s="97" t="s">
        <v>23</v>
      </c>
      <c r="B170" s="161" t="s">
        <v>23</v>
      </c>
      <c r="C170" s="4">
        <v>1</v>
      </c>
      <c r="D170" s="78" t="str">
        <f>IF('8'!E5="","",'8'!E5)</f>
        <v/>
      </c>
      <c r="E170" s="85"/>
      <c r="F170" s="85"/>
    </row>
    <row r="171" spans="1:6" hidden="1" x14ac:dyDescent="0.25">
      <c r="A171" s="97" t="s">
        <v>23</v>
      </c>
      <c r="B171" s="162"/>
      <c r="C171" s="4">
        <v>2</v>
      </c>
      <c r="D171" s="78">
        <f>IF('8'!E6="","",'8'!E6)</f>
        <v>46252</v>
      </c>
      <c r="E171" s="85"/>
      <c r="F171" s="85"/>
    </row>
    <row r="172" spans="1:6" hidden="1" x14ac:dyDescent="0.25">
      <c r="A172" s="97" t="s">
        <v>23</v>
      </c>
      <c r="B172" s="162"/>
      <c r="C172" s="4">
        <v>3</v>
      </c>
      <c r="D172" s="78" t="str">
        <f>IF('8'!E7="","",'8'!E7)</f>
        <v/>
      </c>
      <c r="E172" s="85"/>
      <c r="F172" s="85"/>
    </row>
    <row r="173" spans="1:6" hidden="1" x14ac:dyDescent="0.25">
      <c r="A173" s="97" t="s">
        <v>23</v>
      </c>
      <c r="B173" s="162"/>
      <c r="C173" s="4">
        <v>4</v>
      </c>
      <c r="D173" s="78" t="str">
        <f>IF('8'!E8="","",'8'!E8)</f>
        <v/>
      </c>
      <c r="E173" s="85"/>
      <c r="F173" s="85"/>
    </row>
    <row r="174" spans="1:6" hidden="1" x14ac:dyDescent="0.25">
      <c r="A174" s="97" t="s">
        <v>23</v>
      </c>
      <c r="B174" s="162"/>
      <c r="C174" s="4">
        <v>5</v>
      </c>
      <c r="D174" s="78" t="str">
        <f>IF('8'!E9="","",'8'!E9)</f>
        <v/>
      </c>
      <c r="E174" s="85"/>
      <c r="F174" s="85"/>
    </row>
    <row r="175" spans="1:6" hidden="1" x14ac:dyDescent="0.25">
      <c r="A175" s="97" t="s">
        <v>23</v>
      </c>
      <c r="B175" s="162"/>
      <c r="C175" s="4">
        <v>6</v>
      </c>
      <c r="D175" s="78" t="str">
        <f>IF('8'!E10="","",'8'!E10)</f>
        <v/>
      </c>
      <c r="E175" s="85"/>
      <c r="F175" s="85"/>
    </row>
    <row r="176" spans="1:6" hidden="1" x14ac:dyDescent="0.25">
      <c r="A176" s="97" t="s">
        <v>23</v>
      </c>
      <c r="B176" s="162"/>
      <c r="C176" s="4">
        <v>7</v>
      </c>
      <c r="D176" s="78" t="str">
        <f>IF('8'!E11="","",'8'!E11)</f>
        <v/>
      </c>
      <c r="E176" s="85"/>
      <c r="F176" s="85"/>
    </row>
    <row r="177" spans="1:6" hidden="1" x14ac:dyDescent="0.25">
      <c r="A177" s="97" t="s">
        <v>23</v>
      </c>
      <c r="B177" s="162"/>
      <c r="C177" s="4">
        <v>8</v>
      </c>
      <c r="D177" s="78" t="str">
        <f>IF('8'!E12="","",'8'!E12)</f>
        <v/>
      </c>
      <c r="E177" s="85"/>
      <c r="F177" s="85"/>
    </row>
    <row r="178" spans="1:6" hidden="1" x14ac:dyDescent="0.25">
      <c r="A178" s="97" t="s">
        <v>23</v>
      </c>
      <c r="B178" s="162"/>
      <c r="C178" s="4">
        <v>9</v>
      </c>
      <c r="D178" s="78" t="str">
        <f>IF('8'!E13="","",'8'!E13)</f>
        <v/>
      </c>
      <c r="E178" s="85"/>
      <c r="F178" s="85"/>
    </row>
    <row r="179" spans="1:6" hidden="1" x14ac:dyDescent="0.25">
      <c r="A179" s="97" t="s">
        <v>23</v>
      </c>
      <c r="B179" s="162"/>
      <c r="C179" s="4">
        <v>10</v>
      </c>
      <c r="D179" s="78" t="str">
        <f>IF('8'!E14="","",'8'!E14)</f>
        <v/>
      </c>
      <c r="E179" s="85"/>
      <c r="F179" s="85"/>
    </row>
    <row r="180" spans="1:6" hidden="1" x14ac:dyDescent="0.25">
      <c r="A180" s="97" t="s">
        <v>23</v>
      </c>
      <c r="B180" s="162"/>
      <c r="C180" s="4">
        <v>11</v>
      </c>
      <c r="D180" s="78">
        <f>IF('8'!E15="","",'8'!E15)</f>
        <v>46252</v>
      </c>
      <c r="E180" s="85"/>
      <c r="F180" s="85"/>
    </row>
    <row r="181" spans="1:6" hidden="1" x14ac:dyDescent="0.25">
      <c r="A181" s="97" t="s">
        <v>23</v>
      </c>
      <c r="B181" s="162"/>
      <c r="C181" s="4">
        <v>12</v>
      </c>
      <c r="D181" s="78" t="str">
        <f>IF('8'!E16="","",'8'!E16)</f>
        <v/>
      </c>
      <c r="E181" s="85"/>
      <c r="F181" s="85"/>
    </row>
    <row r="182" spans="1:6" hidden="1" x14ac:dyDescent="0.25">
      <c r="A182" s="97" t="s">
        <v>23</v>
      </c>
      <c r="B182" s="162"/>
      <c r="C182" s="4">
        <v>13</v>
      </c>
      <c r="D182" s="78">
        <f>IF('8'!E17="","",'8'!E17)</f>
        <v>46253</v>
      </c>
      <c r="E182" s="85"/>
      <c r="F182" s="85"/>
    </row>
    <row r="183" spans="1:6" hidden="1" x14ac:dyDescent="0.25">
      <c r="A183" s="97" t="s">
        <v>23</v>
      </c>
      <c r="B183" s="162"/>
      <c r="C183" s="4">
        <v>14</v>
      </c>
      <c r="D183" s="78" t="str">
        <f>IF('8'!E18="","",'8'!E18)</f>
        <v/>
      </c>
      <c r="E183" s="85"/>
      <c r="F183" s="85"/>
    </row>
    <row r="184" spans="1:6" hidden="1" x14ac:dyDescent="0.25">
      <c r="A184" s="97" t="s">
        <v>23</v>
      </c>
      <c r="B184" s="162"/>
      <c r="C184" s="4">
        <v>15</v>
      </c>
      <c r="D184" s="78">
        <f>IF('8'!E19="","",'8'!E19)</f>
        <v>46251</v>
      </c>
      <c r="E184" s="85"/>
      <c r="F184" s="85"/>
    </row>
    <row r="185" spans="1:6" hidden="1" x14ac:dyDescent="0.25">
      <c r="A185" s="97" t="s">
        <v>23</v>
      </c>
      <c r="B185" s="162"/>
      <c r="C185" s="4">
        <v>16</v>
      </c>
      <c r="D185" s="78" t="str">
        <f>IF('8'!E20="","",'8'!E20)</f>
        <v/>
      </c>
      <c r="E185" s="85"/>
      <c r="F185" s="85"/>
    </row>
    <row r="186" spans="1:6" hidden="1" x14ac:dyDescent="0.25">
      <c r="A186" s="97" t="s">
        <v>23</v>
      </c>
      <c r="B186" s="162"/>
      <c r="C186" s="4">
        <v>17</v>
      </c>
      <c r="D186" s="78" t="str">
        <f>IF('8'!E21="","",'8'!E21)</f>
        <v/>
      </c>
      <c r="E186" s="85"/>
      <c r="F186" s="85"/>
    </row>
    <row r="187" spans="1:6" hidden="1" x14ac:dyDescent="0.25">
      <c r="A187" s="97" t="s">
        <v>23</v>
      </c>
      <c r="B187" s="162"/>
      <c r="C187" s="4">
        <v>18</v>
      </c>
      <c r="D187" s="78" t="str">
        <f>IF('8'!E22="","",'8'!E22)</f>
        <v/>
      </c>
      <c r="E187" s="85"/>
      <c r="F187" s="85"/>
    </row>
    <row r="188" spans="1:6" hidden="1" x14ac:dyDescent="0.25">
      <c r="A188" s="97" t="s">
        <v>23</v>
      </c>
      <c r="B188" s="162"/>
      <c r="C188" s="4">
        <v>19</v>
      </c>
      <c r="D188" s="78" t="str">
        <f>IF('8'!E23="","",'8'!E23)</f>
        <v/>
      </c>
      <c r="E188" s="85"/>
      <c r="F188" s="85"/>
    </row>
    <row r="189" spans="1:6" hidden="1" x14ac:dyDescent="0.25">
      <c r="A189" s="97" t="s">
        <v>23</v>
      </c>
      <c r="B189" s="162"/>
      <c r="C189" s="4">
        <v>20</v>
      </c>
      <c r="D189" s="78" t="str">
        <f>IF('8'!E24="","",'8'!E24)</f>
        <v/>
      </c>
      <c r="E189" s="85"/>
      <c r="F189" s="85"/>
    </row>
    <row r="190" spans="1:6" hidden="1" x14ac:dyDescent="0.25">
      <c r="A190" s="97" t="s">
        <v>23</v>
      </c>
      <c r="B190" s="162"/>
      <c r="C190" s="4">
        <v>21</v>
      </c>
      <c r="D190" s="78" t="str">
        <f>IF('8'!E25="","",'8'!E25)</f>
        <v/>
      </c>
      <c r="E190" s="85"/>
      <c r="F190" s="85"/>
    </row>
    <row r="191" spans="1:6" hidden="1" x14ac:dyDescent="0.25">
      <c r="A191" s="97" t="s">
        <v>23</v>
      </c>
      <c r="B191" s="162"/>
      <c r="C191" s="4">
        <v>22</v>
      </c>
      <c r="D191" s="78" t="str">
        <f>IF('8'!E26="","",'8'!E26)</f>
        <v/>
      </c>
      <c r="E191" s="85"/>
      <c r="F191" s="85"/>
    </row>
    <row r="192" spans="1:6" hidden="1" x14ac:dyDescent="0.25">
      <c r="A192" s="97" t="s">
        <v>23</v>
      </c>
      <c r="B192" s="162"/>
      <c r="C192" s="4">
        <v>23</v>
      </c>
      <c r="D192" s="78">
        <f>IF('8'!E27="","",'8'!E27)</f>
        <v>46252</v>
      </c>
      <c r="E192" s="85"/>
      <c r="F192" s="85"/>
    </row>
    <row r="193" spans="1:6" hidden="1" x14ac:dyDescent="0.25">
      <c r="A193" s="97" t="s">
        <v>23</v>
      </c>
      <c r="B193" s="163"/>
      <c r="C193" s="4">
        <v>24</v>
      </c>
      <c r="D193" s="78" t="str">
        <f>IF('8'!E28="","",'8'!E28)</f>
        <v/>
      </c>
      <c r="E193" s="85"/>
      <c r="F193" s="85"/>
    </row>
    <row r="194" spans="1:6" hidden="1" x14ac:dyDescent="0.25">
      <c r="A194" s="98" t="s">
        <v>83</v>
      </c>
      <c r="B194" s="161" t="s">
        <v>83</v>
      </c>
      <c r="C194" s="4">
        <v>1</v>
      </c>
      <c r="D194" s="78">
        <f>IF('9'!E5="","",'9'!E5)</f>
        <v>46248</v>
      </c>
      <c r="E194" s="85"/>
      <c r="F194" s="85"/>
    </row>
    <row r="195" spans="1:6" hidden="1" x14ac:dyDescent="0.25">
      <c r="A195" s="98" t="s">
        <v>83</v>
      </c>
      <c r="B195" s="162"/>
      <c r="C195" s="4">
        <v>2</v>
      </c>
      <c r="D195" s="78">
        <f>IF('9'!E6="","",'9'!E6)</f>
        <v>46240</v>
      </c>
      <c r="E195" s="85"/>
      <c r="F195" s="85"/>
    </row>
    <row r="196" spans="1:6" hidden="1" x14ac:dyDescent="0.25">
      <c r="A196" s="98" t="s">
        <v>83</v>
      </c>
      <c r="B196" s="162"/>
      <c r="C196" s="4">
        <v>3</v>
      </c>
      <c r="D196" s="78">
        <f>IF('9'!E7="","",'9'!E7)</f>
        <v>46244</v>
      </c>
      <c r="E196" s="85"/>
      <c r="F196" s="85"/>
    </row>
    <row r="197" spans="1:6" hidden="1" x14ac:dyDescent="0.25">
      <c r="A197" s="98" t="s">
        <v>83</v>
      </c>
      <c r="B197" s="162"/>
      <c r="C197" s="4">
        <v>4</v>
      </c>
      <c r="D197" s="78">
        <f>IF('9'!E8="","",'9'!E8)</f>
        <v>46241</v>
      </c>
      <c r="E197" s="85"/>
      <c r="F197" s="85"/>
    </row>
    <row r="198" spans="1:6" hidden="1" x14ac:dyDescent="0.25">
      <c r="A198" s="98" t="s">
        <v>83</v>
      </c>
      <c r="B198" s="162"/>
      <c r="C198" s="4">
        <v>5</v>
      </c>
      <c r="D198" s="78">
        <f>IF('9'!E9="","",'9'!E9)</f>
        <v>46245</v>
      </c>
      <c r="E198" s="85"/>
      <c r="F198" s="85"/>
    </row>
    <row r="199" spans="1:6" hidden="1" x14ac:dyDescent="0.25">
      <c r="A199" s="98" t="s">
        <v>83</v>
      </c>
      <c r="B199" s="162"/>
      <c r="C199" s="4">
        <v>6</v>
      </c>
      <c r="D199" s="78">
        <f>IF('9'!E10="","",'9'!E10)</f>
        <v>46242</v>
      </c>
      <c r="E199" s="85"/>
      <c r="F199" s="85"/>
    </row>
    <row r="200" spans="1:6" hidden="1" x14ac:dyDescent="0.25">
      <c r="A200" s="98" t="s">
        <v>83</v>
      </c>
      <c r="B200" s="162"/>
      <c r="C200" s="4">
        <v>7</v>
      </c>
      <c r="D200" s="78">
        <f>IF('9'!E11="","",'9'!E11)</f>
        <v>46246</v>
      </c>
      <c r="E200" s="85"/>
      <c r="F200" s="85"/>
    </row>
    <row r="201" spans="1:6" hidden="1" x14ac:dyDescent="0.25">
      <c r="A201" s="98" t="s">
        <v>83</v>
      </c>
      <c r="B201" s="162"/>
      <c r="C201" s="4">
        <v>8</v>
      </c>
      <c r="D201" s="78">
        <f>IF('9'!E12="","",'9'!E12)</f>
        <v>46245</v>
      </c>
      <c r="E201" s="85"/>
      <c r="F201" s="85"/>
    </row>
    <row r="202" spans="1:6" hidden="1" x14ac:dyDescent="0.25">
      <c r="A202" s="98" t="s">
        <v>83</v>
      </c>
      <c r="B202" s="162"/>
      <c r="C202" s="4">
        <v>9</v>
      </c>
      <c r="D202" s="78">
        <f>IF('9'!E13="","",'9'!E13)</f>
        <v>46246</v>
      </c>
      <c r="E202" s="85"/>
      <c r="F202" s="85"/>
    </row>
    <row r="203" spans="1:6" hidden="1" x14ac:dyDescent="0.25">
      <c r="A203" s="98" t="s">
        <v>83</v>
      </c>
      <c r="B203" s="162"/>
      <c r="C203" s="4">
        <v>10</v>
      </c>
      <c r="D203" s="78">
        <f>IF('9'!E14="","",'9'!E14)</f>
        <v>46249</v>
      </c>
      <c r="E203" s="85"/>
      <c r="F203" s="85"/>
    </row>
    <row r="204" spans="1:6" hidden="1" x14ac:dyDescent="0.25">
      <c r="A204" s="98" t="s">
        <v>83</v>
      </c>
      <c r="B204" s="162"/>
      <c r="C204" s="4">
        <v>11</v>
      </c>
      <c r="D204" s="78">
        <f>IF('9'!E15="","",'9'!E15)</f>
        <v>46243</v>
      </c>
      <c r="E204" s="85"/>
      <c r="F204" s="85"/>
    </row>
    <row r="205" spans="1:6" hidden="1" x14ac:dyDescent="0.25">
      <c r="A205" s="98" t="s">
        <v>83</v>
      </c>
      <c r="B205" s="162"/>
      <c r="C205" s="4">
        <v>12</v>
      </c>
      <c r="D205" s="78">
        <f>IF('9'!E16="","",'9'!E16)</f>
        <v>46248</v>
      </c>
      <c r="E205" s="85"/>
      <c r="F205" s="85"/>
    </row>
    <row r="206" spans="1:6" x14ac:dyDescent="0.25">
      <c r="A206" s="98" t="s">
        <v>83</v>
      </c>
      <c r="B206" s="162"/>
      <c r="C206" s="4">
        <v>13</v>
      </c>
      <c r="D206" s="78">
        <f>IF('9'!E17="","",'9'!E17)</f>
        <v>46239</v>
      </c>
      <c r="E206" s="90" t="s">
        <v>91</v>
      </c>
      <c r="F206" s="85"/>
    </row>
    <row r="207" spans="1:6" hidden="1" x14ac:dyDescent="0.25">
      <c r="A207" s="98" t="s">
        <v>83</v>
      </c>
      <c r="B207" s="162"/>
      <c r="C207" s="4">
        <v>14</v>
      </c>
      <c r="D207" s="78">
        <f>IF('9'!E18="","",'9'!E18)</f>
        <v>46247</v>
      </c>
      <c r="E207" s="85"/>
      <c r="F207" s="85"/>
    </row>
    <row r="208" spans="1:6" hidden="1" x14ac:dyDescent="0.25">
      <c r="A208" s="98" t="s">
        <v>83</v>
      </c>
      <c r="B208" s="162"/>
      <c r="C208" s="4">
        <v>15</v>
      </c>
      <c r="D208" s="78">
        <f>IF('9'!E19="","",'9'!E19)</f>
        <v>46241</v>
      </c>
      <c r="E208" s="85"/>
      <c r="F208" s="85"/>
    </row>
    <row r="209" spans="1:6" hidden="1" x14ac:dyDescent="0.25">
      <c r="A209" s="98" t="s">
        <v>83</v>
      </c>
      <c r="B209" s="162"/>
      <c r="C209" s="4">
        <v>16</v>
      </c>
      <c r="D209" s="78">
        <f>IF('9'!E20="","",'9'!E20)</f>
        <v>46244</v>
      </c>
      <c r="E209" s="85"/>
      <c r="F209" s="85"/>
    </row>
    <row r="210" spans="1:6" hidden="1" x14ac:dyDescent="0.25">
      <c r="A210" s="98" t="s">
        <v>83</v>
      </c>
      <c r="B210" s="162"/>
      <c r="C210" s="4">
        <v>17</v>
      </c>
      <c r="D210" s="78">
        <f>IF('9'!E21="","",'9'!E21)</f>
        <v>46242</v>
      </c>
      <c r="E210" s="85"/>
      <c r="F210" s="85"/>
    </row>
    <row r="211" spans="1:6" hidden="1" x14ac:dyDescent="0.25">
      <c r="A211" s="98" t="s">
        <v>83</v>
      </c>
      <c r="B211" s="162"/>
      <c r="C211" s="4">
        <v>18</v>
      </c>
      <c r="D211" s="78">
        <f>IF('9'!E22="","",'9'!E22)</f>
        <v>46245</v>
      </c>
      <c r="E211" s="85"/>
      <c r="F211" s="85"/>
    </row>
    <row r="212" spans="1:6" hidden="1" x14ac:dyDescent="0.25">
      <c r="A212" s="98" t="s">
        <v>83</v>
      </c>
      <c r="B212" s="162"/>
      <c r="C212" s="4">
        <v>19</v>
      </c>
      <c r="D212" s="78">
        <f>IF('9'!E23="","",'9'!E23)</f>
        <v>46243</v>
      </c>
      <c r="E212" s="85"/>
      <c r="F212" s="85"/>
    </row>
    <row r="213" spans="1:6" hidden="1" x14ac:dyDescent="0.25">
      <c r="A213" s="98" t="s">
        <v>83</v>
      </c>
      <c r="B213" s="162"/>
      <c r="C213" s="4">
        <v>20</v>
      </c>
      <c r="D213" s="78">
        <f>IF('9'!E24="","",'9'!E24)</f>
        <v>46246</v>
      </c>
      <c r="E213" s="85"/>
      <c r="F213" s="85"/>
    </row>
    <row r="214" spans="1:6" hidden="1" x14ac:dyDescent="0.25">
      <c r="A214" s="98" t="s">
        <v>83</v>
      </c>
      <c r="B214" s="162"/>
      <c r="C214" s="4">
        <v>21</v>
      </c>
      <c r="D214" s="78">
        <f>IF('9'!E25="","",'9'!E25)</f>
        <v>46247</v>
      </c>
      <c r="E214" s="85"/>
      <c r="F214" s="85"/>
    </row>
    <row r="215" spans="1:6" hidden="1" x14ac:dyDescent="0.25">
      <c r="A215" s="98" t="s">
        <v>83</v>
      </c>
      <c r="B215" s="162"/>
      <c r="C215" s="4">
        <v>22</v>
      </c>
      <c r="D215" s="78">
        <f>IF('9'!E26="","",'9'!E26)</f>
        <v>46250</v>
      </c>
      <c r="E215" s="85"/>
      <c r="F215" s="85"/>
    </row>
    <row r="216" spans="1:6" hidden="1" x14ac:dyDescent="0.25">
      <c r="A216" s="98" t="s">
        <v>83</v>
      </c>
      <c r="B216" s="162"/>
      <c r="C216" s="4">
        <v>23</v>
      </c>
      <c r="D216" s="78">
        <f>IF('9'!E27="","",'9'!E27)</f>
        <v>46249</v>
      </c>
      <c r="E216" s="85"/>
      <c r="F216" s="85"/>
    </row>
    <row r="217" spans="1:6" hidden="1" x14ac:dyDescent="0.25">
      <c r="A217" s="98" t="s">
        <v>83</v>
      </c>
      <c r="B217" s="163"/>
      <c r="C217" s="4">
        <v>24</v>
      </c>
      <c r="D217" s="78">
        <f>IF('9'!E28="","",'9'!E28)</f>
        <v>46250</v>
      </c>
      <c r="E217" s="85"/>
      <c r="F217" s="85"/>
    </row>
    <row r="218" spans="1:6" hidden="1" x14ac:dyDescent="0.25">
      <c r="A218" s="99" t="s">
        <v>7</v>
      </c>
      <c r="B218" s="161" t="s">
        <v>7</v>
      </c>
      <c r="C218" s="4">
        <v>1</v>
      </c>
      <c r="D218" s="78" t="str">
        <f>IF('10'!E5="","",'10'!E5)</f>
        <v/>
      </c>
      <c r="E218" s="85"/>
      <c r="F218" s="85"/>
    </row>
    <row r="219" spans="1:6" hidden="1" x14ac:dyDescent="0.25">
      <c r="A219" s="99" t="s">
        <v>7</v>
      </c>
      <c r="B219" s="162"/>
      <c r="C219" s="4">
        <v>2</v>
      </c>
      <c r="D219" s="78">
        <f>IF('10'!E6="","",'10'!E6)</f>
        <v>46252</v>
      </c>
      <c r="E219" s="85"/>
      <c r="F219" s="85"/>
    </row>
    <row r="220" spans="1:6" hidden="1" x14ac:dyDescent="0.25">
      <c r="A220" s="99" t="s">
        <v>7</v>
      </c>
      <c r="B220" s="162"/>
      <c r="C220" s="4">
        <v>3</v>
      </c>
      <c r="D220" s="78">
        <f>IF('10'!E7="","",'10'!E7)</f>
        <v>46250</v>
      </c>
      <c r="E220" s="85"/>
      <c r="F220" s="85"/>
    </row>
    <row r="221" spans="1:6" hidden="1" x14ac:dyDescent="0.25">
      <c r="A221" s="99" t="s">
        <v>7</v>
      </c>
      <c r="B221" s="162"/>
      <c r="C221" s="4">
        <v>4</v>
      </c>
      <c r="D221" s="78" t="str">
        <f>IF('10'!E8="","",'10'!E8)</f>
        <v/>
      </c>
      <c r="E221" s="85"/>
      <c r="F221" s="85"/>
    </row>
    <row r="222" spans="1:6" hidden="1" x14ac:dyDescent="0.25">
      <c r="A222" s="99" t="s">
        <v>7</v>
      </c>
      <c r="B222" s="162"/>
      <c r="C222" s="4">
        <v>5</v>
      </c>
      <c r="D222" s="78">
        <f>IF('10'!E9="","",'10'!E9)</f>
        <v>46250</v>
      </c>
      <c r="E222" s="85"/>
      <c r="F222" s="85"/>
    </row>
    <row r="223" spans="1:6" hidden="1" x14ac:dyDescent="0.25">
      <c r="A223" s="99" t="s">
        <v>7</v>
      </c>
      <c r="B223" s="162"/>
      <c r="C223" s="4">
        <v>6</v>
      </c>
      <c r="D223" s="78">
        <f>IF('10'!E10="","",'10'!E10)</f>
        <v>46253</v>
      </c>
      <c r="E223" s="85"/>
      <c r="F223" s="85"/>
    </row>
    <row r="224" spans="1:6" hidden="1" x14ac:dyDescent="0.25">
      <c r="A224" s="99" t="s">
        <v>7</v>
      </c>
      <c r="B224" s="162"/>
      <c r="C224" s="4">
        <v>7</v>
      </c>
      <c r="D224" s="78">
        <f>IF('10'!E11="","",'10'!E11)</f>
        <v>46251</v>
      </c>
      <c r="E224" s="85"/>
      <c r="F224" s="85"/>
    </row>
    <row r="225" spans="1:6" hidden="1" x14ac:dyDescent="0.25">
      <c r="A225" s="99" t="s">
        <v>7</v>
      </c>
      <c r="B225" s="162"/>
      <c r="C225" s="4">
        <v>8</v>
      </c>
      <c r="D225" s="78">
        <f>IF('10'!E12="","",'10'!E12)</f>
        <v>46252</v>
      </c>
      <c r="E225" s="85"/>
      <c r="F225" s="85"/>
    </row>
    <row r="226" spans="1:6" hidden="1" x14ac:dyDescent="0.25">
      <c r="A226" s="99" t="s">
        <v>7</v>
      </c>
      <c r="B226" s="162"/>
      <c r="C226" s="4">
        <v>9</v>
      </c>
      <c r="D226" s="78">
        <f>IF('10'!E13="","",'10'!E13)</f>
        <v>46249</v>
      </c>
      <c r="E226" s="85"/>
      <c r="F226" s="85"/>
    </row>
    <row r="227" spans="1:6" hidden="1" x14ac:dyDescent="0.25">
      <c r="A227" s="99" t="s">
        <v>7</v>
      </c>
      <c r="B227" s="162"/>
      <c r="C227" s="4">
        <v>10</v>
      </c>
      <c r="D227" s="78" t="str">
        <f>IF('10'!E14="","",'10'!E14)</f>
        <v/>
      </c>
      <c r="E227" s="85"/>
      <c r="F227" s="85"/>
    </row>
    <row r="228" spans="1:6" hidden="1" x14ac:dyDescent="0.25">
      <c r="A228" s="99" t="s">
        <v>7</v>
      </c>
      <c r="B228" s="162"/>
      <c r="C228" s="4">
        <v>11</v>
      </c>
      <c r="D228" s="78" t="str">
        <f>IF('10'!E15="","",'10'!E15)</f>
        <v/>
      </c>
      <c r="E228" s="85"/>
      <c r="F228" s="85"/>
    </row>
    <row r="229" spans="1:6" hidden="1" x14ac:dyDescent="0.25">
      <c r="A229" s="99" t="s">
        <v>7</v>
      </c>
      <c r="B229" s="162"/>
      <c r="C229" s="4">
        <v>12</v>
      </c>
      <c r="D229" s="78">
        <f>IF('10'!E16="","",'10'!E16)</f>
        <v>46251</v>
      </c>
      <c r="E229" s="85"/>
      <c r="F229" s="85"/>
    </row>
    <row r="230" spans="1:6" hidden="1" x14ac:dyDescent="0.25">
      <c r="A230" s="99" t="s">
        <v>7</v>
      </c>
      <c r="B230" s="162"/>
      <c r="C230" s="4">
        <v>13</v>
      </c>
      <c r="D230" s="78" t="str">
        <f>IF('10'!E17="","",'10'!E17)</f>
        <v/>
      </c>
      <c r="E230" s="85"/>
      <c r="F230" s="85"/>
    </row>
    <row r="231" spans="1:6" hidden="1" x14ac:dyDescent="0.25">
      <c r="A231" s="99" t="s">
        <v>7</v>
      </c>
      <c r="B231" s="162"/>
      <c r="C231" s="4">
        <v>14</v>
      </c>
      <c r="D231" s="78" t="str">
        <f>IF('10'!E18="","",'10'!E18)</f>
        <v/>
      </c>
      <c r="E231" s="85"/>
      <c r="F231" s="85"/>
    </row>
    <row r="232" spans="1:6" hidden="1" x14ac:dyDescent="0.25">
      <c r="A232" s="99" t="s">
        <v>7</v>
      </c>
      <c r="B232" s="162"/>
      <c r="C232" s="4">
        <v>15</v>
      </c>
      <c r="D232" s="78" t="str">
        <f>IF('10'!E19="","",'10'!E19)</f>
        <v/>
      </c>
      <c r="E232" s="85"/>
      <c r="F232" s="85"/>
    </row>
    <row r="233" spans="1:6" hidden="1" x14ac:dyDescent="0.25">
      <c r="A233" s="99" t="s">
        <v>7</v>
      </c>
      <c r="B233" s="162"/>
      <c r="C233" s="4">
        <v>16</v>
      </c>
      <c r="D233" s="78" t="str">
        <f>IF('10'!E20="","",'10'!E20)</f>
        <v/>
      </c>
      <c r="E233" s="85"/>
      <c r="F233" s="85"/>
    </row>
    <row r="234" spans="1:6" hidden="1" x14ac:dyDescent="0.25">
      <c r="A234" s="99" t="s">
        <v>7</v>
      </c>
      <c r="B234" s="162"/>
      <c r="C234" s="4">
        <v>17</v>
      </c>
      <c r="D234" s="78" t="str">
        <f>IF('10'!E21="","",'10'!E21)</f>
        <v/>
      </c>
      <c r="E234" s="85"/>
      <c r="F234" s="85"/>
    </row>
    <row r="235" spans="1:6" hidden="1" x14ac:dyDescent="0.25">
      <c r="A235" s="99" t="s">
        <v>7</v>
      </c>
      <c r="B235" s="162"/>
      <c r="C235" s="4">
        <v>18</v>
      </c>
      <c r="D235" s="78" t="str">
        <f>IF('10'!E22="","",'10'!E22)</f>
        <v/>
      </c>
      <c r="E235" s="85"/>
      <c r="F235" s="85"/>
    </row>
    <row r="236" spans="1:6" hidden="1" x14ac:dyDescent="0.25">
      <c r="A236" s="99" t="s">
        <v>7</v>
      </c>
      <c r="B236" s="162"/>
      <c r="C236" s="4">
        <v>19</v>
      </c>
      <c r="D236" s="78" t="str">
        <f>IF('10'!E23="","",'10'!E23)</f>
        <v/>
      </c>
      <c r="E236" s="85"/>
      <c r="F236" s="85"/>
    </row>
    <row r="237" spans="1:6" hidden="1" x14ac:dyDescent="0.25">
      <c r="A237" s="99" t="s">
        <v>7</v>
      </c>
      <c r="B237" s="162"/>
      <c r="C237" s="4">
        <v>20</v>
      </c>
      <c r="D237" s="78" t="str">
        <f>IF('10'!E24="","",'10'!E24)</f>
        <v/>
      </c>
      <c r="E237" s="85"/>
      <c r="F237" s="85"/>
    </row>
    <row r="238" spans="1:6" hidden="1" x14ac:dyDescent="0.25">
      <c r="A238" s="99" t="s">
        <v>7</v>
      </c>
      <c r="B238" s="162"/>
      <c r="C238" s="4">
        <v>21</v>
      </c>
      <c r="D238" s="78" t="str">
        <f>IF('10'!E25="","",'10'!E25)</f>
        <v/>
      </c>
      <c r="E238" s="85"/>
      <c r="F238" s="85"/>
    </row>
    <row r="239" spans="1:6" hidden="1" x14ac:dyDescent="0.25">
      <c r="A239" s="99" t="s">
        <v>7</v>
      </c>
      <c r="B239" s="162"/>
      <c r="C239" s="4">
        <v>22</v>
      </c>
      <c r="D239" s="78" t="str">
        <f>IF('10'!E26="","",'10'!E26)</f>
        <v/>
      </c>
      <c r="E239" s="85"/>
      <c r="F239" s="85"/>
    </row>
    <row r="240" spans="1:6" hidden="1" x14ac:dyDescent="0.25">
      <c r="A240" s="99" t="s">
        <v>7</v>
      </c>
      <c r="B240" s="162"/>
      <c r="C240" s="4">
        <v>23</v>
      </c>
      <c r="D240" s="78" t="str">
        <f>IF('10'!E27="","",'10'!E27)</f>
        <v/>
      </c>
      <c r="E240" s="85"/>
      <c r="F240" s="85"/>
    </row>
    <row r="241" spans="1:6" hidden="1" x14ac:dyDescent="0.25">
      <c r="A241" s="99" t="s">
        <v>7</v>
      </c>
      <c r="B241" s="163"/>
      <c r="C241" s="4">
        <v>24</v>
      </c>
      <c r="D241" s="78" t="str">
        <f>IF('10'!E28="","",'10'!E28)</f>
        <v/>
      </c>
      <c r="E241" s="85"/>
      <c r="F241" s="85"/>
    </row>
    <row r="242" spans="1:6" hidden="1" x14ac:dyDescent="0.25">
      <c r="A242" s="100" t="s">
        <v>82</v>
      </c>
      <c r="B242" s="161" t="s">
        <v>82</v>
      </c>
      <c r="C242" s="4">
        <v>1</v>
      </c>
      <c r="D242" s="78">
        <f>IF('11'!E5="","",'11'!E5)</f>
        <v>46241</v>
      </c>
      <c r="E242" s="85"/>
      <c r="F242" s="85"/>
    </row>
    <row r="243" spans="1:6" hidden="1" x14ac:dyDescent="0.25">
      <c r="A243" s="100" t="s">
        <v>82</v>
      </c>
      <c r="B243" s="162"/>
      <c r="C243" s="4">
        <v>2</v>
      </c>
      <c r="D243" s="78">
        <f>IF('11'!E6="","",'11'!E6)</f>
        <v>46242</v>
      </c>
      <c r="E243" s="85"/>
      <c r="F243" s="85"/>
    </row>
    <row r="244" spans="1:6" x14ac:dyDescent="0.25">
      <c r="A244" s="100" t="s">
        <v>82</v>
      </c>
      <c r="B244" s="162"/>
      <c r="C244" s="4">
        <v>3</v>
      </c>
      <c r="D244" s="78">
        <f>IF('11'!E7="","",'11'!E7)</f>
        <v>46238</v>
      </c>
      <c r="E244" s="90" t="s">
        <v>91</v>
      </c>
      <c r="F244" s="85"/>
    </row>
    <row r="245" spans="1:6" hidden="1" x14ac:dyDescent="0.25">
      <c r="A245" s="100" t="s">
        <v>82</v>
      </c>
      <c r="B245" s="162"/>
      <c r="C245" s="4">
        <v>4</v>
      </c>
      <c r="D245" s="78">
        <f>IF('11'!E8="","",'11'!E8)</f>
        <v>46241</v>
      </c>
      <c r="E245" s="85"/>
      <c r="F245" s="85"/>
    </row>
    <row r="246" spans="1:6" x14ac:dyDescent="0.25">
      <c r="A246" s="100" t="s">
        <v>82</v>
      </c>
      <c r="B246" s="162"/>
      <c r="C246" s="4">
        <v>5</v>
      </c>
      <c r="D246" s="78">
        <f>IF('11'!E9="","",'11'!E9)</f>
        <v>46238</v>
      </c>
      <c r="E246" s="90" t="s">
        <v>91</v>
      </c>
      <c r="F246" s="85"/>
    </row>
    <row r="247" spans="1:6" hidden="1" x14ac:dyDescent="0.25">
      <c r="A247" s="100" t="s">
        <v>82</v>
      </c>
      <c r="B247" s="162"/>
      <c r="C247" s="4">
        <v>6</v>
      </c>
      <c r="D247" s="78">
        <f>IF('11'!E10="","",'11'!E10)</f>
        <v>46241</v>
      </c>
      <c r="E247" s="85"/>
      <c r="F247" s="85"/>
    </row>
    <row r="248" spans="1:6" x14ac:dyDescent="0.25">
      <c r="A248" s="100" t="s">
        <v>82</v>
      </c>
      <c r="B248" s="162"/>
      <c r="C248" s="4">
        <v>7</v>
      </c>
      <c r="D248" s="78">
        <f>IF('11'!E11="","",'11'!E11)</f>
        <v>46238</v>
      </c>
      <c r="E248" s="90" t="s">
        <v>91</v>
      </c>
      <c r="F248" s="85"/>
    </row>
    <row r="249" spans="1:6" x14ac:dyDescent="0.25">
      <c r="A249" s="100" t="s">
        <v>82</v>
      </c>
      <c r="B249" s="162"/>
      <c r="C249" s="4">
        <v>8</v>
      </c>
      <c r="D249" s="78">
        <f>IF('11'!E12="","",'11'!E12)</f>
        <v>46239</v>
      </c>
      <c r="E249" s="90" t="s">
        <v>91</v>
      </c>
      <c r="F249" s="85"/>
    </row>
    <row r="250" spans="1:6" x14ac:dyDescent="0.25">
      <c r="A250" s="100" t="s">
        <v>82</v>
      </c>
      <c r="B250" s="162"/>
      <c r="C250" s="4">
        <v>9</v>
      </c>
      <c r="D250" s="78">
        <f>IF('11'!E13="","",'11'!E13)</f>
        <v>46237</v>
      </c>
      <c r="E250" s="90" t="s">
        <v>91</v>
      </c>
      <c r="F250" s="85"/>
    </row>
    <row r="251" spans="1:6" x14ac:dyDescent="0.25">
      <c r="A251" s="100" t="s">
        <v>82</v>
      </c>
      <c r="B251" s="162"/>
      <c r="C251" s="4">
        <v>10</v>
      </c>
      <c r="D251" s="78">
        <f>IF('11'!E14="","",'11'!E14)</f>
        <v>46239</v>
      </c>
      <c r="E251" s="90" t="s">
        <v>91</v>
      </c>
      <c r="F251" s="85"/>
    </row>
    <row r="252" spans="1:6" x14ac:dyDescent="0.25">
      <c r="A252" s="100" t="s">
        <v>82</v>
      </c>
      <c r="B252" s="162"/>
      <c r="C252" s="4">
        <v>11</v>
      </c>
      <c r="D252" s="78">
        <f>IF('11'!E15="","",'11'!E15)</f>
        <v>46238</v>
      </c>
      <c r="E252" s="90" t="s">
        <v>91</v>
      </c>
      <c r="F252" s="85"/>
    </row>
    <row r="253" spans="1:6" hidden="1" x14ac:dyDescent="0.25">
      <c r="A253" s="100" t="s">
        <v>82</v>
      </c>
      <c r="B253" s="162"/>
      <c r="C253" s="4">
        <v>12</v>
      </c>
      <c r="D253" s="78">
        <f>IF('11'!E16="","",'11'!E16)</f>
        <v>46239</v>
      </c>
      <c r="E253" s="85"/>
      <c r="F253" s="85"/>
    </row>
    <row r="254" spans="1:6" x14ac:dyDescent="0.25">
      <c r="A254" s="100" t="s">
        <v>82</v>
      </c>
      <c r="B254" s="162"/>
      <c r="C254" s="4">
        <v>13</v>
      </c>
      <c r="D254" s="78">
        <f>IF('11'!E17="","",'11'!E17)</f>
        <v>46239</v>
      </c>
      <c r="E254" s="90" t="s">
        <v>91</v>
      </c>
      <c r="F254" s="85"/>
    </row>
    <row r="255" spans="1:6" hidden="1" x14ac:dyDescent="0.25">
      <c r="A255" s="100" t="s">
        <v>82</v>
      </c>
      <c r="B255" s="162"/>
      <c r="C255" s="4">
        <v>14</v>
      </c>
      <c r="D255" s="78">
        <f>IF('11'!E18="","",'11'!E18)</f>
        <v>46240</v>
      </c>
      <c r="E255" s="85"/>
      <c r="F255" s="85"/>
    </row>
    <row r="256" spans="1:6" hidden="1" x14ac:dyDescent="0.25">
      <c r="A256" s="100" t="s">
        <v>82</v>
      </c>
      <c r="B256" s="162"/>
      <c r="C256" s="4">
        <v>15</v>
      </c>
      <c r="D256" s="78">
        <f>IF('11'!E19="","",'11'!E19)</f>
        <v>46242</v>
      </c>
      <c r="E256" s="85"/>
      <c r="F256" s="85"/>
    </row>
    <row r="257" spans="1:6" hidden="1" x14ac:dyDescent="0.25">
      <c r="A257" s="100" t="s">
        <v>82</v>
      </c>
      <c r="B257" s="162"/>
      <c r="C257" s="4">
        <v>16</v>
      </c>
      <c r="D257" s="78">
        <f>IF('11'!E20="","",'11'!E20)</f>
        <v>46241</v>
      </c>
      <c r="E257" s="85"/>
      <c r="F257" s="85"/>
    </row>
    <row r="258" spans="1:6" hidden="1" x14ac:dyDescent="0.25">
      <c r="A258" s="100" t="s">
        <v>82</v>
      </c>
      <c r="B258" s="162"/>
      <c r="C258" s="4">
        <v>17</v>
      </c>
      <c r="D258" s="78">
        <f>IF('11'!E21="","",'11'!E21)</f>
        <v>46243</v>
      </c>
      <c r="E258" s="85"/>
      <c r="F258" s="85"/>
    </row>
    <row r="259" spans="1:6" hidden="1" x14ac:dyDescent="0.25">
      <c r="A259" s="100" t="s">
        <v>82</v>
      </c>
      <c r="B259" s="162"/>
      <c r="C259" s="4">
        <v>18</v>
      </c>
      <c r="D259" s="78">
        <f>IF('11'!E22="","",'11'!E22)</f>
        <v>46242</v>
      </c>
      <c r="E259" s="85"/>
      <c r="F259" s="85"/>
    </row>
    <row r="260" spans="1:6" hidden="1" x14ac:dyDescent="0.25">
      <c r="A260" s="100" t="s">
        <v>82</v>
      </c>
      <c r="B260" s="162"/>
      <c r="C260" s="4">
        <v>19</v>
      </c>
      <c r="D260" s="78">
        <f>IF('11'!E23="","",'11'!E23)</f>
        <v>46243</v>
      </c>
      <c r="E260" s="85"/>
      <c r="F260" s="85"/>
    </row>
    <row r="261" spans="1:6" hidden="1" x14ac:dyDescent="0.25">
      <c r="A261" s="100" t="s">
        <v>82</v>
      </c>
      <c r="B261" s="162"/>
      <c r="C261" s="4">
        <v>20</v>
      </c>
      <c r="D261" s="78">
        <f>IF('11'!E24="","",'11'!E24)</f>
        <v>46245</v>
      </c>
      <c r="E261" s="85"/>
      <c r="F261" s="85"/>
    </row>
    <row r="262" spans="1:6" hidden="1" x14ac:dyDescent="0.25">
      <c r="A262" s="100" t="s">
        <v>82</v>
      </c>
      <c r="B262" s="162"/>
      <c r="C262" s="4">
        <v>21</v>
      </c>
      <c r="D262" s="78">
        <f>IF('11'!E25="","",'11'!E25)</f>
        <v>46244</v>
      </c>
      <c r="E262" s="85"/>
      <c r="F262" s="85"/>
    </row>
    <row r="263" spans="1:6" hidden="1" x14ac:dyDescent="0.25">
      <c r="A263" s="100" t="s">
        <v>82</v>
      </c>
      <c r="B263" s="162"/>
      <c r="C263" s="4">
        <v>22</v>
      </c>
      <c r="D263" s="78">
        <f>IF('11'!E26="","",'11'!E26)</f>
        <v>46243</v>
      </c>
      <c r="E263" s="85"/>
      <c r="F263" s="85"/>
    </row>
    <row r="264" spans="1:6" hidden="1" x14ac:dyDescent="0.25">
      <c r="A264" s="100" t="s">
        <v>82</v>
      </c>
      <c r="B264" s="162"/>
      <c r="C264" s="4">
        <v>23</v>
      </c>
      <c r="D264" s="78">
        <f>IF('11'!E27="","",'11'!E27)</f>
        <v>46242</v>
      </c>
      <c r="E264" s="85"/>
      <c r="F264" s="85"/>
    </row>
    <row r="265" spans="1:6" hidden="1" x14ac:dyDescent="0.25">
      <c r="A265" s="100" t="s">
        <v>82</v>
      </c>
      <c r="B265" s="163"/>
      <c r="C265" s="4">
        <v>24</v>
      </c>
      <c r="D265" s="78">
        <f>IF('11'!E28="","",'11'!E28)</f>
        <v>46243</v>
      </c>
      <c r="E265" s="85"/>
      <c r="F265" s="85"/>
    </row>
    <row r="266" spans="1:6" x14ac:dyDescent="0.25">
      <c r="A266" s="101" t="s">
        <v>24</v>
      </c>
      <c r="B266" s="161" t="s">
        <v>24</v>
      </c>
      <c r="C266" s="4">
        <v>1</v>
      </c>
      <c r="D266" s="78">
        <f>IF('12'!E5="","",'12'!E5)</f>
        <v>46217</v>
      </c>
      <c r="E266" s="90" t="s">
        <v>91</v>
      </c>
      <c r="F266" s="85"/>
    </row>
    <row r="267" spans="1:6" x14ac:dyDescent="0.25">
      <c r="A267" s="101" t="s">
        <v>24</v>
      </c>
      <c r="B267" s="162"/>
      <c r="C267" s="4">
        <v>2</v>
      </c>
      <c r="D267" s="78">
        <f>IF('12'!E6="","",'12'!E6)</f>
        <v>46228</v>
      </c>
      <c r="E267" s="90" t="s">
        <v>91</v>
      </c>
      <c r="F267" s="85"/>
    </row>
    <row r="268" spans="1:6" x14ac:dyDescent="0.25">
      <c r="A268" s="101" t="s">
        <v>24</v>
      </c>
      <c r="B268" s="162"/>
      <c r="C268" s="4">
        <v>3</v>
      </c>
      <c r="D268" s="78">
        <f>IF('12'!E7="","",'12'!E7)</f>
        <v>46225</v>
      </c>
      <c r="E268" s="90" t="s">
        <v>91</v>
      </c>
      <c r="F268" s="85"/>
    </row>
    <row r="269" spans="1:6" x14ac:dyDescent="0.25">
      <c r="A269" s="101" t="s">
        <v>24</v>
      </c>
      <c r="B269" s="162"/>
      <c r="C269" s="4">
        <v>4</v>
      </c>
      <c r="D269" s="78">
        <f>IF('12'!E8="","",'12'!E8)</f>
        <v>46234</v>
      </c>
      <c r="E269" s="85"/>
      <c r="F269" s="85"/>
    </row>
    <row r="270" spans="1:6" hidden="1" x14ac:dyDescent="0.25">
      <c r="A270" s="101" t="s">
        <v>24</v>
      </c>
      <c r="B270" s="162"/>
      <c r="C270" s="4">
        <v>5</v>
      </c>
      <c r="D270" s="78">
        <f>IF('12'!E9="","",'12'!E9)</f>
        <v>46246</v>
      </c>
      <c r="E270" s="85"/>
      <c r="F270" s="85"/>
    </row>
    <row r="271" spans="1:6" hidden="1" x14ac:dyDescent="0.25">
      <c r="A271" s="101" t="s">
        <v>24</v>
      </c>
      <c r="B271" s="162"/>
      <c r="C271" s="4">
        <v>6</v>
      </c>
      <c r="D271" s="78">
        <f>IF('12'!E10="","",'12'!E10)</f>
        <v>46245</v>
      </c>
      <c r="E271" s="85"/>
      <c r="F271" s="85"/>
    </row>
    <row r="272" spans="1:6" x14ac:dyDescent="0.25">
      <c r="A272" s="101" t="s">
        <v>24</v>
      </c>
      <c r="B272" s="162"/>
      <c r="C272" s="4">
        <v>7</v>
      </c>
      <c r="D272" s="78">
        <f>IF('12'!E11="","",'12'!E11)</f>
        <v>46214</v>
      </c>
      <c r="E272" s="90" t="s">
        <v>91</v>
      </c>
      <c r="F272" s="85"/>
    </row>
    <row r="273" spans="1:6" x14ac:dyDescent="0.25">
      <c r="A273" s="101" t="s">
        <v>24</v>
      </c>
      <c r="B273" s="162"/>
      <c r="C273" s="4">
        <v>8</v>
      </c>
      <c r="D273" s="78">
        <f>IF('12'!E12="","",'12'!E12)</f>
        <v>46227</v>
      </c>
      <c r="E273" s="90" t="s">
        <v>91</v>
      </c>
      <c r="F273" s="85"/>
    </row>
    <row r="274" spans="1:6" x14ac:dyDescent="0.25">
      <c r="A274" s="101" t="s">
        <v>24</v>
      </c>
      <c r="B274" s="162"/>
      <c r="C274" s="4">
        <v>9</v>
      </c>
      <c r="D274" s="78">
        <f>IF('12'!E13="","",'12'!E13)</f>
        <v>46219</v>
      </c>
      <c r="E274" s="90" t="s">
        <v>91</v>
      </c>
      <c r="F274" s="85"/>
    </row>
    <row r="275" spans="1:6" x14ac:dyDescent="0.25">
      <c r="A275" s="101" t="s">
        <v>24</v>
      </c>
      <c r="B275" s="162"/>
      <c r="C275" s="4">
        <v>10</v>
      </c>
      <c r="D275" s="78">
        <f>IF('12'!E14="","",'12'!E14)</f>
        <v>46225</v>
      </c>
      <c r="E275" s="90" t="s">
        <v>91</v>
      </c>
      <c r="F275" s="85"/>
    </row>
    <row r="276" spans="1:6" x14ac:dyDescent="0.25">
      <c r="A276" s="101" t="s">
        <v>24</v>
      </c>
      <c r="B276" s="162"/>
      <c r="C276" s="4">
        <v>11</v>
      </c>
      <c r="D276" s="78">
        <f>IF('12'!E15="","",'12'!E15)</f>
        <v>46219</v>
      </c>
      <c r="E276" s="90" t="s">
        <v>91</v>
      </c>
      <c r="F276" s="85"/>
    </row>
    <row r="277" spans="1:6" x14ac:dyDescent="0.25">
      <c r="A277" s="101" t="s">
        <v>24</v>
      </c>
      <c r="B277" s="162"/>
      <c r="C277" s="4">
        <v>12</v>
      </c>
      <c r="D277" s="78">
        <f>IF('12'!E16="","",'12'!E16)</f>
        <v>46224</v>
      </c>
      <c r="E277" s="90" t="s">
        <v>91</v>
      </c>
      <c r="F277" s="85"/>
    </row>
    <row r="278" spans="1:6" x14ac:dyDescent="0.25">
      <c r="A278" s="101" t="s">
        <v>24</v>
      </c>
      <c r="B278" s="162"/>
      <c r="C278" s="4">
        <v>13</v>
      </c>
      <c r="D278" s="78">
        <f>IF('12'!E17="","",'12'!E17)</f>
        <v>46218</v>
      </c>
      <c r="E278" s="90" t="s">
        <v>91</v>
      </c>
      <c r="F278" s="85"/>
    </row>
    <row r="279" spans="1:6" x14ac:dyDescent="0.25">
      <c r="A279" s="101" t="s">
        <v>24</v>
      </c>
      <c r="B279" s="162"/>
      <c r="C279" s="4">
        <v>14</v>
      </c>
      <c r="D279" s="78">
        <f>IF('12'!E18="","",'12'!E18)</f>
        <v>46228</v>
      </c>
      <c r="E279" s="90" t="s">
        <v>91</v>
      </c>
      <c r="F279" s="85"/>
    </row>
    <row r="280" spans="1:6" x14ac:dyDescent="0.25">
      <c r="A280" s="101" t="s">
        <v>24</v>
      </c>
      <c r="B280" s="162"/>
      <c r="C280" s="4">
        <v>15</v>
      </c>
      <c r="D280" s="78">
        <f>IF('12'!E19="","",'12'!E19)</f>
        <v>46223</v>
      </c>
      <c r="E280" s="90" t="s">
        <v>91</v>
      </c>
      <c r="F280" s="85"/>
    </row>
    <row r="281" spans="1:6" x14ac:dyDescent="0.25">
      <c r="A281" s="101" t="s">
        <v>24</v>
      </c>
      <c r="B281" s="162"/>
      <c r="C281" s="4">
        <v>16</v>
      </c>
      <c r="D281" s="78">
        <f>IF('12'!E20="","",'12'!E20)</f>
        <v>46226</v>
      </c>
      <c r="E281" s="90" t="s">
        <v>91</v>
      </c>
      <c r="F281" s="85"/>
    </row>
    <row r="282" spans="1:6" x14ac:dyDescent="0.25">
      <c r="A282" s="101" t="s">
        <v>24</v>
      </c>
      <c r="B282" s="162"/>
      <c r="C282" s="4">
        <v>17</v>
      </c>
      <c r="D282" s="78">
        <f>IF('12'!E21="","",'12'!E21)</f>
        <v>46215</v>
      </c>
      <c r="E282" s="90" t="s">
        <v>91</v>
      </c>
      <c r="F282" s="85"/>
    </row>
    <row r="283" spans="1:6" x14ac:dyDescent="0.25">
      <c r="A283" s="101" t="s">
        <v>24</v>
      </c>
      <c r="B283" s="162"/>
      <c r="C283" s="4">
        <v>18</v>
      </c>
      <c r="D283" s="78">
        <f>IF('12'!E22="","",'12'!E22)</f>
        <v>46227</v>
      </c>
      <c r="E283" s="90" t="s">
        <v>91</v>
      </c>
      <c r="F283" s="85"/>
    </row>
    <row r="284" spans="1:6" x14ac:dyDescent="0.25">
      <c r="A284" s="101" t="s">
        <v>24</v>
      </c>
      <c r="B284" s="162"/>
      <c r="C284" s="4">
        <v>19</v>
      </c>
      <c r="D284" s="78">
        <f>IF('12'!E23="","",'12'!E23)</f>
        <v>46232</v>
      </c>
      <c r="E284" s="90" t="s">
        <v>91</v>
      </c>
      <c r="F284" s="85"/>
    </row>
    <row r="285" spans="1:6" x14ac:dyDescent="0.25">
      <c r="A285" s="101" t="s">
        <v>24</v>
      </c>
      <c r="B285" s="162"/>
      <c r="C285" s="4">
        <v>20</v>
      </c>
      <c r="D285" s="78">
        <f>IF('12'!E24="","",'12'!E24)</f>
        <v>46235</v>
      </c>
      <c r="E285" s="85"/>
      <c r="F285" s="85"/>
    </row>
    <row r="286" spans="1:6" x14ac:dyDescent="0.25">
      <c r="A286" s="101" t="s">
        <v>24</v>
      </c>
      <c r="B286" s="162"/>
      <c r="C286" s="4">
        <v>21</v>
      </c>
      <c r="D286" s="78">
        <f>IF('12'!E25="","",'12'!E25)</f>
        <v>46232</v>
      </c>
      <c r="E286" s="85"/>
      <c r="F286" s="85"/>
    </row>
    <row r="287" spans="1:6" x14ac:dyDescent="0.25">
      <c r="A287" s="101" t="s">
        <v>24</v>
      </c>
      <c r="B287" s="162"/>
      <c r="C287" s="4">
        <v>22</v>
      </c>
      <c r="D287" s="78">
        <f>IF('12'!E26="","",'12'!E26)</f>
        <v>46224</v>
      </c>
      <c r="E287" s="90" t="s">
        <v>91</v>
      </c>
      <c r="F287" s="85"/>
    </row>
    <row r="288" spans="1:6" x14ac:dyDescent="0.25">
      <c r="A288" s="101" t="s">
        <v>24</v>
      </c>
      <c r="B288" s="162"/>
      <c r="C288" s="4">
        <v>23</v>
      </c>
      <c r="D288" s="78">
        <f>IF('12'!E27="","",'12'!E27)</f>
        <v>46218</v>
      </c>
      <c r="E288" s="90" t="s">
        <v>91</v>
      </c>
      <c r="F288" s="85"/>
    </row>
    <row r="289" spans="1:6" x14ac:dyDescent="0.25">
      <c r="A289" s="101" t="s">
        <v>24</v>
      </c>
      <c r="B289" s="163"/>
      <c r="C289" s="4">
        <v>24</v>
      </c>
      <c r="D289" s="78">
        <f>IF('12'!E28="","",'12'!E28)</f>
        <v>46226</v>
      </c>
      <c r="E289" s="90" t="s">
        <v>91</v>
      </c>
      <c r="F289" s="85"/>
    </row>
    <row r="290" spans="1:6" x14ac:dyDescent="0.25">
      <c r="A290" s="102" t="s">
        <v>80</v>
      </c>
      <c r="B290" s="161" t="s">
        <v>80</v>
      </c>
      <c r="C290" s="4">
        <v>1</v>
      </c>
      <c r="D290" s="78">
        <f>IF('13'!E5="","",'13'!E5)</f>
        <v>46233</v>
      </c>
      <c r="E290" s="85"/>
      <c r="F290" s="85"/>
    </row>
    <row r="291" spans="1:6" x14ac:dyDescent="0.25">
      <c r="A291" s="102" t="s">
        <v>80</v>
      </c>
      <c r="B291" s="162"/>
      <c r="C291" s="4">
        <v>2</v>
      </c>
      <c r="D291" s="78">
        <f>IF('13'!E6="","",'13'!E6)</f>
        <v>46217</v>
      </c>
      <c r="E291" s="90" t="s">
        <v>91</v>
      </c>
      <c r="F291" s="85"/>
    </row>
    <row r="292" spans="1:6" x14ac:dyDescent="0.25">
      <c r="A292" s="102" t="s">
        <v>80</v>
      </c>
      <c r="B292" s="162"/>
      <c r="C292" s="4">
        <v>3</v>
      </c>
      <c r="D292" s="78">
        <f>IF('13'!E7="","",'13'!E7)</f>
        <v>46229</v>
      </c>
      <c r="E292" s="85"/>
      <c r="F292" s="85"/>
    </row>
    <row r="293" spans="1:6" x14ac:dyDescent="0.25">
      <c r="A293" s="102" t="s">
        <v>80</v>
      </c>
      <c r="B293" s="162"/>
      <c r="C293" s="4">
        <v>4</v>
      </c>
      <c r="D293" s="78">
        <f>IF('13'!E8="","",'13'!E8)</f>
        <v>46213</v>
      </c>
      <c r="E293" s="90" t="s">
        <v>91</v>
      </c>
      <c r="F293" s="85"/>
    </row>
    <row r="294" spans="1:6" x14ac:dyDescent="0.25">
      <c r="A294" s="102" t="s">
        <v>80</v>
      </c>
      <c r="B294" s="162"/>
      <c r="C294" s="4">
        <v>5</v>
      </c>
      <c r="D294" s="78">
        <f>IF('13'!E9="","",'13'!E9)</f>
        <v>46228</v>
      </c>
      <c r="E294" s="90" t="s">
        <v>91</v>
      </c>
      <c r="F294" s="85"/>
    </row>
    <row r="295" spans="1:6" x14ac:dyDescent="0.25">
      <c r="A295" s="102" t="s">
        <v>80</v>
      </c>
      <c r="B295" s="162"/>
      <c r="C295" s="4">
        <v>6</v>
      </c>
      <c r="D295" s="78">
        <f>IF('13'!E10="","",'13'!E10)</f>
        <v>46213</v>
      </c>
      <c r="E295" s="90" t="s">
        <v>91</v>
      </c>
      <c r="F295" s="85"/>
    </row>
    <row r="296" spans="1:6" x14ac:dyDescent="0.25">
      <c r="A296" s="102" t="s">
        <v>80</v>
      </c>
      <c r="B296" s="162"/>
      <c r="C296" s="4">
        <v>7</v>
      </c>
      <c r="D296" s="78">
        <f>IF('13'!E11="","",'13'!E11)</f>
        <v>46227</v>
      </c>
      <c r="E296" s="90" t="s">
        <v>91</v>
      </c>
      <c r="F296" s="85"/>
    </row>
    <row r="297" spans="1:6" x14ac:dyDescent="0.25">
      <c r="A297" s="102" t="s">
        <v>80</v>
      </c>
      <c r="B297" s="162"/>
      <c r="C297" s="4">
        <v>8</v>
      </c>
      <c r="D297" s="78">
        <f>IF('13'!E12="","",'13'!E12)</f>
        <v>46215</v>
      </c>
      <c r="E297" s="90" t="s">
        <v>91</v>
      </c>
      <c r="F297" s="85"/>
    </row>
    <row r="298" spans="1:6" x14ac:dyDescent="0.25">
      <c r="A298" s="102" t="s">
        <v>80</v>
      </c>
      <c r="B298" s="162"/>
      <c r="C298" s="4">
        <v>9</v>
      </c>
      <c r="D298" s="78">
        <f>IF('13'!E13="","",'13'!E13)</f>
        <v>46229</v>
      </c>
      <c r="E298" s="90" t="s">
        <v>91</v>
      </c>
      <c r="F298" s="85"/>
    </row>
    <row r="299" spans="1:6" x14ac:dyDescent="0.25">
      <c r="A299" s="102" t="s">
        <v>80</v>
      </c>
      <c r="B299" s="162"/>
      <c r="C299" s="4">
        <v>10</v>
      </c>
      <c r="D299" s="78">
        <f>IF('13'!E14="","",'13'!E14)</f>
        <v>46218</v>
      </c>
      <c r="E299" s="90" t="s">
        <v>91</v>
      </c>
      <c r="F299" s="85"/>
    </row>
    <row r="300" spans="1:6" x14ac:dyDescent="0.25">
      <c r="A300" s="102" t="s">
        <v>80</v>
      </c>
      <c r="B300" s="162"/>
      <c r="C300" s="4">
        <v>11</v>
      </c>
      <c r="D300" s="78">
        <f>IF('13'!E15="","",'13'!E15)</f>
        <v>46214</v>
      </c>
      <c r="E300" s="90" t="s">
        <v>91</v>
      </c>
      <c r="F300" s="85"/>
    </row>
    <row r="301" spans="1:6" x14ac:dyDescent="0.25">
      <c r="A301" s="102" t="s">
        <v>80</v>
      </c>
      <c r="B301" s="162"/>
      <c r="C301" s="4">
        <v>12</v>
      </c>
      <c r="D301" s="78">
        <f>IF('13'!E16="","",'13'!E16)</f>
        <v>46217</v>
      </c>
      <c r="E301" s="90" t="s">
        <v>91</v>
      </c>
      <c r="F301" s="85"/>
    </row>
    <row r="302" spans="1:6" x14ac:dyDescent="0.25">
      <c r="A302" s="102" t="s">
        <v>80</v>
      </c>
      <c r="B302" s="162"/>
      <c r="C302" s="4">
        <v>13</v>
      </c>
      <c r="D302" s="78">
        <f>IF('13'!E17="","",'13'!E17)</f>
        <v>46231</v>
      </c>
      <c r="E302" s="90" t="s">
        <v>91</v>
      </c>
      <c r="F302" s="85"/>
    </row>
    <row r="303" spans="1:6" x14ac:dyDescent="0.25">
      <c r="A303" s="102" t="s">
        <v>80</v>
      </c>
      <c r="B303" s="162"/>
      <c r="C303" s="4">
        <v>14</v>
      </c>
      <c r="D303" s="78">
        <f>IF('13'!E18="","",'13'!E18)</f>
        <v>46228</v>
      </c>
      <c r="E303" s="85"/>
      <c r="F303" s="85"/>
    </row>
    <row r="304" spans="1:6" x14ac:dyDescent="0.25">
      <c r="A304" s="102" t="s">
        <v>80</v>
      </c>
      <c r="B304" s="162"/>
      <c r="C304" s="4">
        <v>15</v>
      </c>
      <c r="D304" s="78">
        <f>IF('13'!E19="","",'13'!E19)</f>
        <v>46231</v>
      </c>
      <c r="E304" s="85"/>
      <c r="F304" s="85"/>
    </row>
    <row r="305" spans="1:6" x14ac:dyDescent="0.25">
      <c r="A305" s="102" t="s">
        <v>80</v>
      </c>
      <c r="B305" s="162"/>
      <c r="C305" s="4">
        <v>16</v>
      </c>
      <c r="D305" s="78">
        <f>IF('13'!E20="","",'13'!E20)</f>
        <v>46232</v>
      </c>
      <c r="E305" s="85"/>
      <c r="F305" s="85"/>
    </row>
    <row r="306" spans="1:6" x14ac:dyDescent="0.25">
      <c r="A306" s="102" t="s">
        <v>80</v>
      </c>
      <c r="B306" s="162"/>
      <c r="C306" s="4">
        <v>17</v>
      </c>
      <c r="D306" s="78">
        <f>IF('13'!E21="","",'13'!E21)</f>
        <v>46230</v>
      </c>
      <c r="E306" s="90" t="s">
        <v>91</v>
      </c>
      <c r="F306" s="85"/>
    </row>
    <row r="307" spans="1:6" x14ac:dyDescent="0.25">
      <c r="A307" s="102" t="s">
        <v>80</v>
      </c>
      <c r="B307" s="162"/>
      <c r="C307" s="4">
        <v>18</v>
      </c>
      <c r="D307" s="78">
        <f>IF('13'!E22="","",'13'!E22)</f>
        <v>46231</v>
      </c>
      <c r="E307" s="90" t="s">
        <v>91</v>
      </c>
      <c r="F307" s="85"/>
    </row>
    <row r="308" spans="1:6" x14ac:dyDescent="0.25">
      <c r="A308" s="102" t="s">
        <v>80</v>
      </c>
      <c r="B308" s="162"/>
      <c r="C308" s="4">
        <v>19</v>
      </c>
      <c r="D308" s="78">
        <f>IF('13'!E23="","",'13'!E23)</f>
        <v>46232</v>
      </c>
      <c r="E308" s="85"/>
      <c r="F308" s="85"/>
    </row>
    <row r="309" spans="1:6" x14ac:dyDescent="0.25">
      <c r="A309" s="102" t="s">
        <v>80</v>
      </c>
      <c r="B309" s="162"/>
      <c r="C309" s="4">
        <v>20</v>
      </c>
      <c r="D309" s="78">
        <f>IF('13'!E24="","",'13'!E24)</f>
        <v>46232</v>
      </c>
      <c r="E309" s="85"/>
      <c r="F309" s="85"/>
    </row>
    <row r="310" spans="1:6" x14ac:dyDescent="0.25">
      <c r="A310" s="102" t="s">
        <v>80</v>
      </c>
      <c r="B310" s="162"/>
      <c r="C310" s="4">
        <v>21</v>
      </c>
      <c r="D310" s="78">
        <f>IF('13'!E25="","",'13'!E25)</f>
        <v>46233</v>
      </c>
      <c r="E310" s="90" t="s">
        <v>91</v>
      </c>
      <c r="F310" s="85"/>
    </row>
    <row r="311" spans="1:6" x14ac:dyDescent="0.25">
      <c r="A311" s="102" t="s">
        <v>80</v>
      </c>
      <c r="B311" s="162"/>
      <c r="C311" s="4">
        <v>22</v>
      </c>
      <c r="D311" s="78">
        <f>IF('13'!E26="","",'13'!E26)</f>
        <v>46233</v>
      </c>
      <c r="E311" s="85"/>
      <c r="F311" s="85"/>
    </row>
    <row r="312" spans="1:6" x14ac:dyDescent="0.25">
      <c r="A312" s="102" t="s">
        <v>80</v>
      </c>
      <c r="B312" s="162"/>
      <c r="C312" s="4">
        <v>23</v>
      </c>
      <c r="D312" s="78">
        <f>IF('13'!E27="","",'13'!E27)</f>
        <v>46230</v>
      </c>
      <c r="E312" s="90" t="s">
        <v>91</v>
      </c>
      <c r="F312" s="85"/>
    </row>
    <row r="313" spans="1:6" x14ac:dyDescent="0.25">
      <c r="A313" s="102" t="s">
        <v>80</v>
      </c>
      <c r="B313" s="163"/>
      <c r="C313" s="4">
        <v>24</v>
      </c>
      <c r="D313" s="78">
        <f>IF('13'!E28="","",'13'!E28)</f>
        <v>46231</v>
      </c>
      <c r="E313" s="90" t="s">
        <v>91</v>
      </c>
      <c r="F313" s="85"/>
    </row>
    <row r="314" spans="1:6" x14ac:dyDescent="0.25">
      <c r="A314" s="103" t="s">
        <v>25</v>
      </c>
      <c r="B314" s="161" t="s">
        <v>25</v>
      </c>
      <c r="C314" s="4">
        <v>1</v>
      </c>
      <c r="D314" s="78">
        <f>IF('14'!E5="","",'14'!E5)</f>
        <v>46213</v>
      </c>
      <c r="E314" s="90" t="s">
        <v>91</v>
      </c>
      <c r="F314" s="85"/>
    </row>
    <row r="315" spans="1:6" x14ac:dyDescent="0.25">
      <c r="A315" s="103" t="s">
        <v>25</v>
      </c>
      <c r="B315" s="162"/>
      <c r="C315" s="4">
        <v>2</v>
      </c>
      <c r="D315" s="78">
        <f>IF('14'!E6="","",'14'!E6)</f>
        <v>46224</v>
      </c>
      <c r="E315" s="90" t="s">
        <v>91</v>
      </c>
      <c r="F315" s="85"/>
    </row>
    <row r="316" spans="1:6" x14ac:dyDescent="0.25">
      <c r="A316" s="103" t="s">
        <v>25</v>
      </c>
      <c r="B316" s="162"/>
      <c r="C316" s="4">
        <v>3</v>
      </c>
      <c r="D316" s="78">
        <f>IF('14'!E7="","",'14'!E7)</f>
        <v>46228</v>
      </c>
      <c r="E316" s="90" t="s">
        <v>91</v>
      </c>
      <c r="F316" s="85"/>
    </row>
    <row r="317" spans="1:6" x14ac:dyDescent="0.25">
      <c r="A317" s="103" t="s">
        <v>25</v>
      </c>
      <c r="B317" s="162"/>
      <c r="C317" s="4">
        <v>4</v>
      </c>
      <c r="D317" s="78">
        <f>IF('14'!E8="","",'14'!E8)</f>
        <v>46225</v>
      </c>
      <c r="E317" s="90" t="s">
        <v>91</v>
      </c>
      <c r="F317" s="85"/>
    </row>
    <row r="318" spans="1:6" x14ac:dyDescent="0.25">
      <c r="A318" s="103" t="s">
        <v>25</v>
      </c>
      <c r="B318" s="162"/>
      <c r="C318" s="4">
        <v>5</v>
      </c>
      <c r="D318" s="78">
        <f>IF('14'!E9="","",'14'!E9)</f>
        <v>46219</v>
      </c>
      <c r="E318" s="90" t="s">
        <v>91</v>
      </c>
      <c r="F318" s="85"/>
    </row>
    <row r="319" spans="1:6" x14ac:dyDescent="0.25">
      <c r="A319" s="103" t="s">
        <v>25</v>
      </c>
      <c r="B319" s="162"/>
      <c r="C319" s="4">
        <v>6</v>
      </c>
      <c r="D319" s="78">
        <f>IF('14'!E10="","",'14'!E10)</f>
        <v>46214</v>
      </c>
      <c r="E319" s="90" t="s">
        <v>91</v>
      </c>
      <c r="F319" s="85"/>
    </row>
    <row r="320" spans="1:6" x14ac:dyDescent="0.25">
      <c r="A320" s="103" t="s">
        <v>25</v>
      </c>
      <c r="B320" s="162"/>
      <c r="C320" s="4">
        <v>7</v>
      </c>
      <c r="D320" s="78">
        <f>IF('14'!E11="","",'14'!E11)</f>
        <v>46212</v>
      </c>
      <c r="E320" s="90" t="s">
        <v>91</v>
      </c>
      <c r="F320" s="85"/>
    </row>
    <row r="321" spans="1:6" x14ac:dyDescent="0.25">
      <c r="A321" s="103" t="s">
        <v>25</v>
      </c>
      <c r="B321" s="162"/>
      <c r="C321" s="4">
        <v>8</v>
      </c>
      <c r="D321" s="78">
        <f>IF('14'!E12="","",'14'!E12)</f>
        <v>46214</v>
      </c>
      <c r="E321" s="90" t="s">
        <v>91</v>
      </c>
      <c r="F321" s="85"/>
    </row>
    <row r="322" spans="1:6" x14ac:dyDescent="0.25">
      <c r="A322" s="103" t="s">
        <v>25</v>
      </c>
      <c r="B322" s="162"/>
      <c r="C322" s="4">
        <v>9</v>
      </c>
      <c r="D322" s="78">
        <f>IF('14'!E13="","",'14'!E13)</f>
        <v>46226</v>
      </c>
      <c r="E322" s="90" t="s">
        <v>91</v>
      </c>
      <c r="F322" s="85"/>
    </row>
    <row r="323" spans="1:6" x14ac:dyDescent="0.25">
      <c r="A323" s="103" t="s">
        <v>25</v>
      </c>
      <c r="B323" s="162"/>
      <c r="C323" s="4">
        <v>10</v>
      </c>
      <c r="D323" s="78">
        <f>IF('14'!E14="","",'14'!E14)</f>
        <v>46227</v>
      </c>
      <c r="E323" s="90" t="s">
        <v>91</v>
      </c>
      <c r="F323" s="85"/>
    </row>
    <row r="324" spans="1:6" x14ac:dyDescent="0.25">
      <c r="A324" s="103" t="s">
        <v>25</v>
      </c>
      <c r="B324" s="162"/>
      <c r="C324" s="4">
        <v>11</v>
      </c>
      <c r="D324" s="78">
        <f>IF('14'!E15="","",'14'!E15)</f>
        <v>46228</v>
      </c>
      <c r="E324" s="90" t="s">
        <v>91</v>
      </c>
      <c r="F324" s="85"/>
    </row>
    <row r="325" spans="1:6" x14ac:dyDescent="0.25">
      <c r="A325" s="103" t="s">
        <v>25</v>
      </c>
      <c r="B325" s="162"/>
      <c r="C325" s="4">
        <v>12</v>
      </c>
      <c r="D325" s="78">
        <f>IF('14'!E16="","",'14'!E16)</f>
        <v>46235</v>
      </c>
      <c r="E325" s="90" t="s">
        <v>91</v>
      </c>
      <c r="F325" s="85"/>
    </row>
    <row r="326" spans="1:6" x14ac:dyDescent="0.25">
      <c r="A326" s="103" t="s">
        <v>25</v>
      </c>
      <c r="B326" s="162"/>
      <c r="C326" s="4">
        <v>13</v>
      </c>
      <c r="D326" s="78">
        <f>IF('14'!E17="","",'14'!E17)</f>
        <v>46213</v>
      </c>
      <c r="E326" s="90" t="s">
        <v>91</v>
      </c>
      <c r="F326" s="85"/>
    </row>
    <row r="327" spans="1:6" x14ac:dyDescent="0.25">
      <c r="A327" s="103" t="s">
        <v>25</v>
      </c>
      <c r="B327" s="162"/>
      <c r="C327" s="4">
        <v>14</v>
      </c>
      <c r="D327" s="78">
        <f>IF('14'!E18="","",'14'!E18)</f>
        <v>46234</v>
      </c>
      <c r="E327" s="85"/>
      <c r="F327" s="85"/>
    </row>
    <row r="328" spans="1:6" x14ac:dyDescent="0.25">
      <c r="A328" s="103" t="s">
        <v>25</v>
      </c>
      <c r="B328" s="162"/>
      <c r="C328" s="4">
        <v>15</v>
      </c>
      <c r="D328" s="78">
        <f>IF('14'!E19="","",'14'!E19)</f>
        <v>46233</v>
      </c>
      <c r="E328" s="85"/>
      <c r="F328" s="85"/>
    </row>
    <row r="329" spans="1:6" x14ac:dyDescent="0.25">
      <c r="A329" s="103" t="s">
        <v>25</v>
      </c>
      <c r="B329" s="162"/>
      <c r="C329" s="4">
        <v>16</v>
      </c>
      <c r="D329" s="78">
        <f>IF('14'!E20="","",'14'!E20)</f>
        <v>46226</v>
      </c>
      <c r="E329" s="90" t="s">
        <v>91</v>
      </c>
      <c r="F329" s="85"/>
    </row>
    <row r="330" spans="1:6" x14ac:dyDescent="0.25">
      <c r="A330" s="103" t="s">
        <v>25</v>
      </c>
      <c r="B330" s="162"/>
      <c r="C330" s="4">
        <v>17</v>
      </c>
      <c r="D330" s="78">
        <f>IF('14'!E21="","",'14'!E21)</f>
        <v>46227</v>
      </c>
      <c r="E330" s="90" t="s">
        <v>91</v>
      </c>
      <c r="F330" s="85"/>
    </row>
    <row r="331" spans="1:6" x14ac:dyDescent="0.25">
      <c r="A331" s="103" t="s">
        <v>25</v>
      </c>
      <c r="B331" s="162"/>
      <c r="C331" s="4">
        <v>18</v>
      </c>
      <c r="D331" s="78">
        <f>IF('14'!E22="","",'14'!E22)</f>
        <v>46225</v>
      </c>
      <c r="E331" s="90" t="s">
        <v>91</v>
      </c>
      <c r="F331" s="85"/>
    </row>
    <row r="332" spans="1:6" x14ac:dyDescent="0.25">
      <c r="A332" s="103" t="s">
        <v>25</v>
      </c>
      <c r="B332" s="162"/>
      <c r="C332" s="4">
        <v>19</v>
      </c>
      <c r="D332" s="78">
        <f>IF('14'!E23="","",'14'!E23)</f>
        <v>46234</v>
      </c>
      <c r="E332" s="90" t="s">
        <v>91</v>
      </c>
      <c r="F332" s="85"/>
    </row>
    <row r="333" spans="1:6" x14ac:dyDescent="0.25">
      <c r="A333" s="103" t="s">
        <v>25</v>
      </c>
      <c r="B333" s="162"/>
      <c r="C333" s="4">
        <v>20</v>
      </c>
      <c r="D333" s="78">
        <f>IF('14'!E24="","",'14'!E24)</f>
        <v>46229</v>
      </c>
      <c r="E333" s="90" t="s">
        <v>91</v>
      </c>
      <c r="F333" s="85"/>
    </row>
    <row r="334" spans="1:6" x14ac:dyDescent="0.25">
      <c r="A334" s="103" t="s">
        <v>25</v>
      </c>
      <c r="B334" s="162"/>
      <c r="C334" s="4">
        <v>21</v>
      </c>
      <c r="D334" s="78">
        <f>IF('14'!E25="","",'14'!E25)</f>
        <v>46230</v>
      </c>
      <c r="E334" s="90" t="s">
        <v>91</v>
      </c>
      <c r="F334" s="85"/>
    </row>
    <row r="335" spans="1:6" x14ac:dyDescent="0.25">
      <c r="A335" s="103" t="s">
        <v>25</v>
      </c>
      <c r="B335" s="162"/>
      <c r="C335" s="4">
        <v>22</v>
      </c>
      <c r="D335" s="78">
        <f>IF('14'!E26="","",'14'!E26)</f>
        <v>46229</v>
      </c>
      <c r="E335" s="90" t="s">
        <v>91</v>
      </c>
      <c r="F335" s="85"/>
    </row>
    <row r="336" spans="1:6" x14ac:dyDescent="0.25">
      <c r="A336" s="103" t="s">
        <v>25</v>
      </c>
      <c r="B336" s="162"/>
      <c r="C336" s="4">
        <v>23</v>
      </c>
      <c r="D336" s="78">
        <f>IF('14'!E27="","",'14'!E27)</f>
        <v>46225</v>
      </c>
      <c r="E336" s="90" t="s">
        <v>91</v>
      </c>
      <c r="F336" s="85"/>
    </row>
    <row r="337" spans="1:6" x14ac:dyDescent="0.25">
      <c r="A337" s="103" t="s">
        <v>25</v>
      </c>
      <c r="B337" s="163"/>
      <c r="C337" s="4">
        <v>24</v>
      </c>
      <c r="D337" s="78">
        <f>IF('14'!E28="","",'14'!E28)</f>
        <v>46224</v>
      </c>
      <c r="E337" s="90" t="s">
        <v>91</v>
      </c>
      <c r="F337" s="85"/>
    </row>
    <row r="338" spans="1:6" x14ac:dyDescent="0.25">
      <c r="A338" s="104" t="s">
        <v>8</v>
      </c>
      <c r="B338" s="161" t="s">
        <v>8</v>
      </c>
      <c r="C338" s="4">
        <v>1</v>
      </c>
      <c r="D338" s="78">
        <f>IF('15'!E5="","",'15'!E5)</f>
        <v>46225</v>
      </c>
      <c r="E338" s="90" t="s">
        <v>91</v>
      </c>
      <c r="F338" s="85"/>
    </row>
    <row r="339" spans="1:6" x14ac:dyDescent="0.25">
      <c r="A339" s="104" t="s">
        <v>8</v>
      </c>
      <c r="B339" s="162"/>
      <c r="C339" s="4">
        <v>2</v>
      </c>
      <c r="D339" s="78">
        <f>IF('15'!E6="","",'15'!E6)</f>
        <v>46226</v>
      </c>
      <c r="E339" s="90" t="s">
        <v>91</v>
      </c>
      <c r="F339" s="85"/>
    </row>
    <row r="340" spans="1:6" x14ac:dyDescent="0.25">
      <c r="A340" s="104" t="s">
        <v>8</v>
      </c>
      <c r="B340" s="162"/>
      <c r="C340" s="4">
        <v>3</v>
      </c>
      <c r="D340" s="78">
        <f>IF('15'!E7="","",'15'!E7)</f>
        <v>46224</v>
      </c>
      <c r="E340" s="90" t="s">
        <v>91</v>
      </c>
      <c r="F340" s="85"/>
    </row>
    <row r="341" spans="1:6" x14ac:dyDescent="0.25">
      <c r="A341" s="104" t="s">
        <v>8</v>
      </c>
      <c r="B341" s="162"/>
      <c r="C341" s="4">
        <v>4</v>
      </c>
      <c r="D341" s="78">
        <f>IF('15'!E8="","",'15'!E8)</f>
        <v>46222</v>
      </c>
      <c r="E341" s="90" t="s">
        <v>91</v>
      </c>
      <c r="F341" s="85"/>
    </row>
    <row r="342" spans="1:6" x14ac:dyDescent="0.25">
      <c r="A342" s="104" t="s">
        <v>8</v>
      </c>
      <c r="B342" s="162"/>
      <c r="C342" s="4">
        <v>5</v>
      </c>
      <c r="D342" s="78">
        <f>IF('15'!E9="","",'15'!E9)</f>
        <v>46224</v>
      </c>
      <c r="E342" s="90" t="s">
        <v>91</v>
      </c>
      <c r="F342" s="85"/>
    </row>
    <row r="343" spans="1:6" x14ac:dyDescent="0.25">
      <c r="A343" s="104" t="s">
        <v>8</v>
      </c>
      <c r="B343" s="162"/>
      <c r="C343" s="4">
        <v>6</v>
      </c>
      <c r="D343" s="78">
        <f>IF('15'!E10="","",'15'!E10)</f>
        <v>46221</v>
      </c>
      <c r="E343" s="90" t="s">
        <v>91</v>
      </c>
      <c r="F343" s="85"/>
    </row>
    <row r="344" spans="1:6" x14ac:dyDescent="0.25">
      <c r="A344" s="104" t="s">
        <v>8</v>
      </c>
      <c r="B344" s="162"/>
      <c r="C344" s="4">
        <v>7</v>
      </c>
      <c r="D344" s="78">
        <f>IF('15'!E11="","",'15'!E11)</f>
        <v>46224</v>
      </c>
      <c r="E344" s="90" t="s">
        <v>91</v>
      </c>
      <c r="F344" s="85"/>
    </row>
    <row r="345" spans="1:6" x14ac:dyDescent="0.25">
      <c r="A345" s="104" t="s">
        <v>8</v>
      </c>
      <c r="B345" s="162"/>
      <c r="C345" s="4">
        <v>8</v>
      </c>
      <c r="D345" s="78">
        <f>IF('15'!E12="","",'15'!E12)</f>
        <v>46220</v>
      </c>
      <c r="E345" s="90" t="s">
        <v>91</v>
      </c>
      <c r="F345" s="85"/>
    </row>
    <row r="346" spans="1:6" x14ac:dyDescent="0.25">
      <c r="A346" s="104" t="s">
        <v>8</v>
      </c>
      <c r="B346" s="162"/>
      <c r="C346" s="4">
        <v>9</v>
      </c>
      <c r="D346" s="78">
        <f>IF('15'!E13="","",'15'!E13)</f>
        <v>46216</v>
      </c>
      <c r="E346" s="90" t="s">
        <v>91</v>
      </c>
      <c r="F346" s="85"/>
    </row>
    <row r="347" spans="1:6" x14ac:dyDescent="0.25">
      <c r="A347" s="104" t="s">
        <v>8</v>
      </c>
      <c r="B347" s="162"/>
      <c r="C347" s="4">
        <v>10</v>
      </c>
      <c r="D347" s="78">
        <f>IF('15'!E14="","",'15'!E14)</f>
        <v>46219</v>
      </c>
      <c r="E347" s="90" t="s">
        <v>91</v>
      </c>
      <c r="F347" s="85"/>
    </row>
    <row r="348" spans="1:6" x14ac:dyDescent="0.25">
      <c r="A348" s="104" t="s">
        <v>8</v>
      </c>
      <c r="B348" s="162"/>
      <c r="C348" s="4">
        <v>11</v>
      </c>
      <c r="D348" s="78">
        <f>IF('15'!E15="","",'15'!E15)</f>
        <v>46217</v>
      </c>
      <c r="E348" s="90" t="s">
        <v>91</v>
      </c>
      <c r="F348" s="85"/>
    </row>
    <row r="349" spans="1:6" x14ac:dyDescent="0.25">
      <c r="A349" s="104" t="s">
        <v>8</v>
      </c>
      <c r="B349" s="162"/>
      <c r="C349" s="4">
        <v>12</v>
      </c>
      <c r="D349" s="78">
        <f>IF('15'!E16="","",'15'!E16)</f>
        <v>46223</v>
      </c>
      <c r="E349" s="90" t="s">
        <v>91</v>
      </c>
      <c r="F349" s="85"/>
    </row>
    <row r="350" spans="1:6" x14ac:dyDescent="0.25">
      <c r="A350" s="104" t="s">
        <v>8</v>
      </c>
      <c r="B350" s="162"/>
      <c r="C350" s="4">
        <v>13</v>
      </c>
      <c r="D350" s="78">
        <f>IF('15'!E17="","",'15'!E17)</f>
        <v>46219</v>
      </c>
      <c r="E350" s="90" t="s">
        <v>91</v>
      </c>
      <c r="F350" s="85"/>
    </row>
    <row r="351" spans="1:6" x14ac:dyDescent="0.25">
      <c r="A351" s="104" t="s">
        <v>8</v>
      </c>
      <c r="B351" s="162"/>
      <c r="C351" s="4">
        <v>14</v>
      </c>
      <c r="D351" s="78">
        <f>IF('15'!E18="","",'15'!E18)</f>
        <v>46223</v>
      </c>
      <c r="E351" s="90" t="s">
        <v>91</v>
      </c>
      <c r="F351" s="85"/>
    </row>
    <row r="352" spans="1:6" x14ac:dyDescent="0.25">
      <c r="A352" s="104" t="s">
        <v>8</v>
      </c>
      <c r="B352" s="162"/>
      <c r="C352" s="4">
        <v>15</v>
      </c>
      <c r="D352" s="78">
        <f>IF('15'!E19="","",'15'!E19)</f>
        <v>46225</v>
      </c>
      <c r="E352" s="90" t="s">
        <v>91</v>
      </c>
      <c r="F352" s="85"/>
    </row>
    <row r="353" spans="1:6" x14ac:dyDescent="0.25">
      <c r="A353" s="104" t="s">
        <v>8</v>
      </c>
      <c r="B353" s="162"/>
      <c r="C353" s="4">
        <v>16</v>
      </c>
      <c r="D353" s="78">
        <f>IF('15'!E20="","",'15'!E20)</f>
        <v>46227</v>
      </c>
      <c r="E353" s="90" t="s">
        <v>91</v>
      </c>
      <c r="F353" s="85"/>
    </row>
    <row r="354" spans="1:6" x14ac:dyDescent="0.25">
      <c r="A354" s="104" t="s">
        <v>8</v>
      </c>
      <c r="B354" s="162"/>
      <c r="C354" s="4">
        <v>17</v>
      </c>
      <c r="D354" s="78">
        <f>IF('15'!E21="","",'15'!E21)</f>
        <v>46225</v>
      </c>
      <c r="E354" s="90" t="s">
        <v>91</v>
      </c>
      <c r="F354" s="85"/>
    </row>
    <row r="355" spans="1:6" x14ac:dyDescent="0.25">
      <c r="A355" s="104" t="s">
        <v>8</v>
      </c>
      <c r="B355" s="162"/>
      <c r="C355" s="4">
        <v>18</v>
      </c>
      <c r="D355" s="78">
        <f>IF('15'!E22="","",'15'!E22)</f>
        <v>46227</v>
      </c>
      <c r="E355" s="90" t="s">
        <v>91</v>
      </c>
      <c r="F355" s="85"/>
    </row>
    <row r="356" spans="1:6" x14ac:dyDescent="0.25">
      <c r="A356" s="104" t="s">
        <v>8</v>
      </c>
      <c r="B356" s="162"/>
      <c r="C356" s="4">
        <v>19</v>
      </c>
      <c r="D356" s="78">
        <f>IF('15'!E23="","",'15'!E23)</f>
        <v>46228</v>
      </c>
      <c r="E356" s="90" t="s">
        <v>91</v>
      </c>
      <c r="F356" s="85"/>
    </row>
    <row r="357" spans="1:6" x14ac:dyDescent="0.25">
      <c r="A357" s="104" t="s">
        <v>8</v>
      </c>
      <c r="B357" s="162"/>
      <c r="C357" s="4">
        <v>20</v>
      </c>
      <c r="D357" s="78">
        <f>IF('15'!E24="","",'15'!E24)</f>
        <v>46229</v>
      </c>
      <c r="E357" s="90" t="s">
        <v>91</v>
      </c>
      <c r="F357" s="85"/>
    </row>
    <row r="358" spans="1:6" x14ac:dyDescent="0.25">
      <c r="A358" s="104" t="s">
        <v>8</v>
      </c>
      <c r="B358" s="162"/>
      <c r="C358" s="4">
        <v>21</v>
      </c>
      <c r="D358" s="78">
        <f>IF('15'!E25="","",'15'!E25)</f>
        <v>46229</v>
      </c>
      <c r="E358" s="90" t="s">
        <v>91</v>
      </c>
      <c r="F358" s="85"/>
    </row>
    <row r="359" spans="1:6" x14ac:dyDescent="0.25">
      <c r="A359" s="104" t="s">
        <v>8</v>
      </c>
      <c r="B359" s="162"/>
      <c r="C359" s="4">
        <v>22</v>
      </c>
      <c r="D359" s="78">
        <f>IF('15'!E26="","",'15'!E26)</f>
        <v>46228</v>
      </c>
      <c r="E359" s="90" t="s">
        <v>91</v>
      </c>
      <c r="F359" s="85"/>
    </row>
    <row r="360" spans="1:6" x14ac:dyDescent="0.25">
      <c r="A360" s="104" t="s">
        <v>8</v>
      </c>
      <c r="B360" s="162"/>
      <c r="C360" s="4">
        <v>23</v>
      </c>
      <c r="D360" s="78">
        <f>IF('15'!E27="","",'15'!E27)</f>
        <v>46227</v>
      </c>
      <c r="E360" s="90" t="s">
        <v>91</v>
      </c>
      <c r="F360" s="85"/>
    </row>
    <row r="361" spans="1:6" x14ac:dyDescent="0.25">
      <c r="A361" s="104" t="s">
        <v>8</v>
      </c>
      <c r="B361" s="163"/>
      <c r="C361" s="4">
        <v>24</v>
      </c>
      <c r="D361" s="78">
        <f>IF('15'!E28="","",'15'!E28)</f>
        <v>46226</v>
      </c>
      <c r="E361" s="90" t="s">
        <v>91</v>
      </c>
      <c r="F361" s="85"/>
    </row>
    <row r="362" spans="1:6" x14ac:dyDescent="0.25">
      <c r="A362" s="105" t="s">
        <v>26</v>
      </c>
      <c r="B362" s="161" t="s">
        <v>26</v>
      </c>
      <c r="C362" s="4">
        <v>1</v>
      </c>
      <c r="D362" s="78">
        <f>IF('16'!E5="","",'16'!E5)</f>
        <v>46239</v>
      </c>
      <c r="E362" s="90" t="s">
        <v>91</v>
      </c>
      <c r="F362" s="85"/>
    </row>
    <row r="363" spans="1:6" hidden="1" x14ac:dyDescent="0.25">
      <c r="A363" s="105" t="s">
        <v>26</v>
      </c>
      <c r="B363" s="162"/>
      <c r="C363" s="4">
        <v>2</v>
      </c>
      <c r="D363" s="78">
        <f>IF('16'!E6="","",'16'!E6)</f>
        <v>46240</v>
      </c>
      <c r="E363" s="85"/>
      <c r="F363" s="85"/>
    </row>
    <row r="364" spans="1:6" x14ac:dyDescent="0.25">
      <c r="A364" s="105" t="s">
        <v>26</v>
      </c>
      <c r="B364" s="162"/>
      <c r="C364" s="4">
        <v>3</v>
      </c>
      <c r="D364" s="78">
        <f>IF('16'!E7="","",'16'!E7)</f>
        <v>46239</v>
      </c>
      <c r="E364" s="90" t="s">
        <v>91</v>
      </c>
      <c r="F364" s="85"/>
    </row>
    <row r="365" spans="1:6" x14ac:dyDescent="0.25">
      <c r="A365" s="105" t="s">
        <v>26</v>
      </c>
      <c r="B365" s="162"/>
      <c r="C365" s="4">
        <v>4</v>
      </c>
      <c r="D365" s="78">
        <f>IF('16'!E8="","",'16'!E8)</f>
        <v>46238</v>
      </c>
      <c r="E365" s="90" t="s">
        <v>91</v>
      </c>
      <c r="F365" s="85"/>
    </row>
    <row r="366" spans="1:6" x14ac:dyDescent="0.25">
      <c r="A366" s="105" t="s">
        <v>26</v>
      </c>
      <c r="B366" s="162"/>
      <c r="C366" s="4">
        <v>5</v>
      </c>
      <c r="D366" s="78">
        <f>IF('16'!E9="","",'16'!E9)</f>
        <v>46237</v>
      </c>
      <c r="E366" s="90" t="s">
        <v>91</v>
      </c>
      <c r="F366" s="85"/>
    </row>
    <row r="367" spans="1:6" x14ac:dyDescent="0.25">
      <c r="A367" s="105" t="s">
        <v>26</v>
      </c>
      <c r="B367" s="162"/>
      <c r="C367" s="4">
        <v>6</v>
      </c>
      <c r="D367" s="78">
        <f>IF('16'!E10="","",'16'!E10)</f>
        <v>46239</v>
      </c>
      <c r="E367" s="85"/>
      <c r="F367" s="85"/>
    </row>
    <row r="368" spans="1:6" x14ac:dyDescent="0.25">
      <c r="A368" s="105" t="s">
        <v>26</v>
      </c>
      <c r="B368" s="162"/>
      <c r="C368" s="4">
        <v>7</v>
      </c>
      <c r="D368" s="78">
        <f>IF('16'!E11="","",'16'!E11)</f>
        <v>46237</v>
      </c>
      <c r="E368" s="85"/>
      <c r="F368" s="85"/>
    </row>
    <row r="369" spans="1:6" x14ac:dyDescent="0.25">
      <c r="A369" s="105" t="s">
        <v>26</v>
      </c>
      <c r="B369" s="162"/>
      <c r="C369" s="4">
        <v>8</v>
      </c>
      <c r="D369" s="78">
        <f>IF('16'!E12="","",'16'!E12)</f>
        <v>46238</v>
      </c>
      <c r="E369" s="85"/>
      <c r="F369" s="85"/>
    </row>
    <row r="370" spans="1:6" x14ac:dyDescent="0.25">
      <c r="A370" s="105" t="s">
        <v>26</v>
      </c>
      <c r="B370" s="162"/>
      <c r="C370" s="4">
        <v>9</v>
      </c>
      <c r="D370" s="78">
        <f>IF('16'!E13="","",'16'!E13)</f>
        <v>46236</v>
      </c>
      <c r="E370" s="90" t="s">
        <v>91</v>
      </c>
      <c r="F370" s="85"/>
    </row>
    <row r="371" spans="1:6" x14ac:dyDescent="0.25">
      <c r="A371" s="105" t="s">
        <v>26</v>
      </c>
      <c r="B371" s="162"/>
      <c r="C371" s="4">
        <v>10</v>
      </c>
      <c r="D371" s="78">
        <f>IF('16'!E14="","",'16'!E14)</f>
        <v>46232</v>
      </c>
      <c r="E371" s="85"/>
      <c r="F371" s="85"/>
    </row>
    <row r="372" spans="1:6" x14ac:dyDescent="0.25">
      <c r="A372" s="105" t="s">
        <v>26</v>
      </c>
      <c r="B372" s="162"/>
      <c r="C372" s="4">
        <v>11</v>
      </c>
      <c r="D372" s="78">
        <f>IF('16'!E15="","",'16'!E15)</f>
        <v>46231</v>
      </c>
      <c r="E372" s="85"/>
      <c r="F372" s="85"/>
    </row>
    <row r="373" spans="1:6" x14ac:dyDescent="0.25">
      <c r="A373" s="105" t="s">
        <v>26</v>
      </c>
      <c r="B373" s="162"/>
      <c r="C373" s="4">
        <v>12</v>
      </c>
      <c r="D373" s="78">
        <f>IF('16'!E16="","",'16'!E16)</f>
        <v>46234</v>
      </c>
      <c r="E373" s="90" t="s">
        <v>91</v>
      </c>
      <c r="F373" s="85"/>
    </row>
    <row r="374" spans="1:6" x14ac:dyDescent="0.25">
      <c r="A374" s="105" t="s">
        <v>26</v>
      </c>
      <c r="B374" s="162"/>
      <c r="C374" s="4">
        <v>13</v>
      </c>
      <c r="D374" s="78">
        <f>IF('16'!E17="","",'16'!E17)</f>
        <v>46230</v>
      </c>
      <c r="E374" s="85"/>
      <c r="F374" s="85"/>
    </row>
    <row r="375" spans="1:6" x14ac:dyDescent="0.25">
      <c r="A375" s="105" t="s">
        <v>26</v>
      </c>
      <c r="B375" s="162"/>
      <c r="C375" s="4">
        <v>14</v>
      </c>
      <c r="D375" s="78">
        <f>IF('16'!E18="","",'16'!E18)</f>
        <v>46231</v>
      </c>
      <c r="E375" s="85"/>
      <c r="F375" s="85"/>
    </row>
    <row r="376" spans="1:6" x14ac:dyDescent="0.25">
      <c r="A376" s="105" t="s">
        <v>26</v>
      </c>
      <c r="B376" s="162"/>
      <c r="C376" s="4">
        <v>15</v>
      </c>
      <c r="D376" s="78">
        <f>IF('16'!E19="","",'16'!E19)</f>
        <v>46230</v>
      </c>
      <c r="E376" s="85"/>
      <c r="F376" s="85"/>
    </row>
    <row r="377" spans="1:6" x14ac:dyDescent="0.25">
      <c r="A377" s="105" t="s">
        <v>26</v>
      </c>
      <c r="B377" s="162"/>
      <c r="C377" s="4">
        <v>16</v>
      </c>
      <c r="D377" s="78">
        <f>IF('16'!E20="","",'16'!E20)</f>
        <v>46232</v>
      </c>
      <c r="E377" s="85"/>
      <c r="F377" s="85"/>
    </row>
    <row r="378" spans="1:6" x14ac:dyDescent="0.25">
      <c r="A378" s="105" t="s">
        <v>26</v>
      </c>
      <c r="B378" s="162"/>
      <c r="C378" s="4">
        <v>17</v>
      </c>
      <c r="D378" s="78">
        <f>IF('16'!E21="","",'16'!E21)</f>
        <v>46233</v>
      </c>
      <c r="E378" s="85"/>
      <c r="F378" s="85"/>
    </row>
    <row r="379" spans="1:6" x14ac:dyDescent="0.25">
      <c r="A379" s="105" t="s">
        <v>26</v>
      </c>
      <c r="B379" s="162"/>
      <c r="C379" s="4">
        <v>18</v>
      </c>
      <c r="D379" s="78">
        <f>IF('16'!E22="","",'16'!E22)</f>
        <v>46235</v>
      </c>
      <c r="E379" s="85"/>
      <c r="F379" s="85"/>
    </row>
    <row r="380" spans="1:6" x14ac:dyDescent="0.25">
      <c r="A380" s="105" t="s">
        <v>26</v>
      </c>
      <c r="B380" s="162"/>
      <c r="C380" s="4">
        <v>19</v>
      </c>
      <c r="D380" s="78">
        <f>IF('16'!E23="","",'16'!E23)</f>
        <v>46233</v>
      </c>
      <c r="E380" s="90" t="s">
        <v>91</v>
      </c>
      <c r="F380" s="85"/>
    </row>
    <row r="381" spans="1:6" x14ac:dyDescent="0.25">
      <c r="A381" s="105" t="s">
        <v>26</v>
      </c>
      <c r="B381" s="162"/>
      <c r="C381" s="4">
        <v>20</v>
      </c>
      <c r="D381" s="78">
        <f>IF('16'!E24="","",'16'!E24)</f>
        <v>46235</v>
      </c>
      <c r="E381" s="90" t="s">
        <v>91</v>
      </c>
      <c r="F381" s="85"/>
    </row>
    <row r="382" spans="1:6" x14ac:dyDescent="0.25">
      <c r="A382" s="105" t="s">
        <v>26</v>
      </c>
      <c r="B382" s="162"/>
      <c r="C382" s="4">
        <v>21</v>
      </c>
      <c r="D382" s="78">
        <f>IF('16'!E25="","",'16'!E25)</f>
        <v>46234</v>
      </c>
      <c r="E382" s="85"/>
      <c r="F382" s="85"/>
    </row>
    <row r="383" spans="1:6" x14ac:dyDescent="0.25">
      <c r="A383" s="105" t="s">
        <v>26</v>
      </c>
      <c r="B383" s="162"/>
      <c r="C383" s="4">
        <v>22</v>
      </c>
      <c r="D383" s="78">
        <f>IF('16'!E26="","",'16'!E26)</f>
        <v>46236</v>
      </c>
      <c r="E383" s="85"/>
      <c r="F383" s="85"/>
    </row>
    <row r="384" spans="1:6" x14ac:dyDescent="0.25">
      <c r="A384" s="105" t="s">
        <v>26</v>
      </c>
      <c r="B384" s="162"/>
      <c r="C384" s="4">
        <v>23</v>
      </c>
      <c r="D384" s="78">
        <f>IF('16'!E27="","",'16'!E27)</f>
        <v>46236</v>
      </c>
      <c r="E384" s="90" t="s">
        <v>91</v>
      </c>
      <c r="F384" s="85"/>
    </row>
    <row r="385" spans="1:6" x14ac:dyDescent="0.25">
      <c r="A385" s="105" t="s">
        <v>26</v>
      </c>
      <c r="B385" s="163"/>
      <c r="C385" s="4">
        <v>24</v>
      </c>
      <c r="D385" s="78">
        <f>IF('16'!E28="","",'16'!E28)</f>
        <v>46238</v>
      </c>
      <c r="E385" s="90" t="s">
        <v>91</v>
      </c>
      <c r="F385" s="85"/>
    </row>
    <row r="386" spans="1:6" hidden="1" x14ac:dyDescent="0.25">
      <c r="A386" s="106" t="s">
        <v>81</v>
      </c>
      <c r="B386" s="161" t="s">
        <v>81</v>
      </c>
      <c r="C386" s="4">
        <v>1</v>
      </c>
      <c r="D386" s="78">
        <f>IF('17'!E5="","",'17'!E5)</f>
        <v>46241</v>
      </c>
      <c r="E386" s="85"/>
      <c r="F386" s="85"/>
    </row>
    <row r="387" spans="1:6" x14ac:dyDescent="0.25">
      <c r="A387" s="106" t="s">
        <v>81</v>
      </c>
      <c r="B387" s="162"/>
      <c r="C387" s="4">
        <v>2</v>
      </c>
      <c r="D387" s="78">
        <f>IF('17'!E6="","",'17'!E6)</f>
        <v>46231</v>
      </c>
      <c r="E387" s="90" t="s">
        <v>91</v>
      </c>
      <c r="F387" s="85"/>
    </row>
    <row r="388" spans="1:6" x14ac:dyDescent="0.25">
      <c r="A388" s="106" t="s">
        <v>81</v>
      </c>
      <c r="B388" s="162"/>
      <c r="C388" s="4">
        <v>3</v>
      </c>
      <c r="D388" s="78">
        <f>IF('17'!E7="","",'17'!E7)</f>
        <v>46233</v>
      </c>
      <c r="E388" s="90" t="s">
        <v>91</v>
      </c>
      <c r="F388" s="85"/>
    </row>
    <row r="389" spans="1:6" x14ac:dyDescent="0.25">
      <c r="A389" s="106" t="s">
        <v>81</v>
      </c>
      <c r="B389" s="162"/>
      <c r="C389" s="4">
        <v>4</v>
      </c>
      <c r="D389" s="78">
        <f>IF('17'!E8="","",'17'!E8)</f>
        <v>46232</v>
      </c>
      <c r="E389" s="85"/>
      <c r="F389" s="85"/>
    </row>
    <row r="390" spans="1:6" x14ac:dyDescent="0.25">
      <c r="A390" s="106" t="s">
        <v>81</v>
      </c>
      <c r="B390" s="162"/>
      <c r="C390" s="4">
        <v>5</v>
      </c>
      <c r="D390" s="78">
        <f>IF('17'!E9="","",'17'!E9)</f>
        <v>46223</v>
      </c>
      <c r="E390" s="90" t="s">
        <v>91</v>
      </c>
      <c r="F390" s="85"/>
    </row>
    <row r="391" spans="1:6" x14ac:dyDescent="0.25">
      <c r="A391" s="106" t="s">
        <v>81</v>
      </c>
      <c r="B391" s="162"/>
      <c r="C391" s="4">
        <v>6</v>
      </c>
      <c r="D391" s="78">
        <f>IF('17'!E10="","",'17'!E10)</f>
        <v>46237</v>
      </c>
      <c r="E391" s="85"/>
      <c r="F391" s="85"/>
    </row>
    <row r="392" spans="1:6" x14ac:dyDescent="0.25">
      <c r="A392" s="106" t="s">
        <v>81</v>
      </c>
      <c r="B392" s="162"/>
      <c r="C392" s="4">
        <v>7</v>
      </c>
      <c r="D392" s="78">
        <f>IF('17'!E11="","",'17'!E11)</f>
        <v>46235</v>
      </c>
      <c r="E392" s="90" t="s">
        <v>91</v>
      </c>
      <c r="F392" s="85"/>
    </row>
    <row r="393" spans="1:6" x14ac:dyDescent="0.25">
      <c r="A393" s="106" t="s">
        <v>81</v>
      </c>
      <c r="B393" s="162"/>
      <c r="C393" s="4">
        <v>8</v>
      </c>
      <c r="D393" s="78">
        <f>IF('17'!E12="","",'17'!E12)</f>
        <v>46238</v>
      </c>
      <c r="E393" s="85"/>
      <c r="F393" s="85"/>
    </row>
    <row r="394" spans="1:6" x14ac:dyDescent="0.25">
      <c r="A394" s="106" t="s">
        <v>81</v>
      </c>
      <c r="B394" s="162"/>
      <c r="C394" s="4">
        <v>9</v>
      </c>
      <c r="D394" s="78">
        <f>IF('17'!E13="","",'17'!E13)</f>
        <v>46236</v>
      </c>
      <c r="E394" s="90" t="s">
        <v>91</v>
      </c>
      <c r="F394" s="85"/>
    </row>
    <row r="395" spans="1:6" x14ac:dyDescent="0.25">
      <c r="A395" s="106" t="s">
        <v>81</v>
      </c>
      <c r="B395" s="162"/>
      <c r="C395" s="4">
        <v>10</v>
      </c>
      <c r="D395" s="78">
        <f>IF('17'!E14="","",'17'!E14)</f>
        <v>46234</v>
      </c>
      <c r="E395" s="90" t="s">
        <v>91</v>
      </c>
      <c r="F395" s="85"/>
    </row>
    <row r="396" spans="1:6" x14ac:dyDescent="0.25">
      <c r="A396" s="106" t="s">
        <v>81</v>
      </c>
      <c r="B396" s="162"/>
      <c r="C396" s="4">
        <v>11</v>
      </c>
      <c r="D396" s="78">
        <f>IF('17'!E15="","",'17'!E15)</f>
        <v>46224</v>
      </c>
      <c r="E396" s="90" t="s">
        <v>91</v>
      </c>
      <c r="F396" s="85"/>
    </row>
    <row r="397" spans="1:6" x14ac:dyDescent="0.25">
      <c r="A397" s="106" t="s">
        <v>81</v>
      </c>
      <c r="B397" s="162"/>
      <c r="C397" s="4">
        <v>12</v>
      </c>
      <c r="D397" s="78">
        <f>IF('17'!E16="","",'17'!E16)</f>
        <v>46228</v>
      </c>
      <c r="E397" s="90" t="s">
        <v>91</v>
      </c>
      <c r="F397" s="85"/>
    </row>
    <row r="398" spans="1:6" x14ac:dyDescent="0.25">
      <c r="A398" s="106" t="s">
        <v>81</v>
      </c>
      <c r="B398" s="162"/>
      <c r="C398" s="4">
        <v>13</v>
      </c>
      <c r="D398" s="78">
        <f>IF('17'!E17="","",'17'!E17)</f>
        <v>46219</v>
      </c>
      <c r="E398" s="90" t="s">
        <v>91</v>
      </c>
      <c r="F398" s="85"/>
    </row>
    <row r="399" spans="1:6" x14ac:dyDescent="0.25">
      <c r="A399" s="106" t="s">
        <v>81</v>
      </c>
      <c r="B399" s="162"/>
      <c r="C399" s="4">
        <v>14</v>
      </c>
      <c r="D399" s="78">
        <f>IF('17'!E18="","",'17'!E18)</f>
        <v>46230</v>
      </c>
      <c r="E399" s="90" t="s">
        <v>91</v>
      </c>
      <c r="F399" s="85"/>
    </row>
    <row r="400" spans="1:6" x14ac:dyDescent="0.25">
      <c r="A400" s="106" t="s">
        <v>81</v>
      </c>
      <c r="B400" s="162"/>
      <c r="C400" s="4">
        <v>15</v>
      </c>
      <c r="D400" s="78">
        <f>IF('17'!E19="","",'17'!E19)</f>
        <v>46228</v>
      </c>
      <c r="E400" s="90" t="s">
        <v>91</v>
      </c>
      <c r="F400" s="85"/>
    </row>
    <row r="401" spans="1:6" x14ac:dyDescent="0.25">
      <c r="A401" s="106" t="s">
        <v>81</v>
      </c>
      <c r="B401" s="162"/>
      <c r="C401" s="4">
        <v>16</v>
      </c>
      <c r="D401" s="78">
        <f>IF('17'!E20="","",'17'!E20)</f>
        <v>46229</v>
      </c>
      <c r="E401" s="90" t="s">
        <v>91</v>
      </c>
      <c r="F401" s="85"/>
    </row>
    <row r="402" spans="1:6" x14ac:dyDescent="0.25">
      <c r="A402" s="106" t="s">
        <v>81</v>
      </c>
      <c r="B402" s="162"/>
      <c r="C402" s="4">
        <v>17</v>
      </c>
      <c r="D402" s="78">
        <f>IF('17'!E21="","",'17'!E21)</f>
        <v>46232</v>
      </c>
      <c r="E402" s="85"/>
      <c r="F402" s="85"/>
    </row>
    <row r="403" spans="1:6" x14ac:dyDescent="0.25">
      <c r="A403" s="106" t="s">
        <v>81</v>
      </c>
      <c r="B403" s="162"/>
      <c r="C403" s="4">
        <v>18</v>
      </c>
      <c r="D403" s="78">
        <f>IF('17'!E22="","",'17'!E22)</f>
        <v>46229</v>
      </c>
      <c r="E403" s="90" t="s">
        <v>91</v>
      </c>
      <c r="F403" s="85"/>
    </row>
    <row r="404" spans="1:6" x14ac:dyDescent="0.25">
      <c r="A404" s="106" t="s">
        <v>81</v>
      </c>
      <c r="B404" s="162"/>
      <c r="C404" s="4">
        <v>19</v>
      </c>
      <c r="D404" s="78">
        <f>IF('17'!E23="","",'17'!E23)</f>
        <v>46230</v>
      </c>
      <c r="E404" s="90" t="s">
        <v>91</v>
      </c>
      <c r="F404" s="85"/>
    </row>
    <row r="405" spans="1:6" x14ac:dyDescent="0.25">
      <c r="A405" s="106" t="s">
        <v>81</v>
      </c>
      <c r="B405" s="162"/>
      <c r="C405" s="4">
        <v>20</v>
      </c>
      <c r="D405" s="78">
        <f>IF('17'!E24="","",'17'!E24)</f>
        <v>46231</v>
      </c>
      <c r="E405" s="90" t="s">
        <v>91</v>
      </c>
      <c r="F405" s="85"/>
    </row>
    <row r="406" spans="1:6" x14ac:dyDescent="0.25">
      <c r="A406" s="106" t="s">
        <v>81</v>
      </c>
      <c r="B406" s="162"/>
      <c r="C406" s="4">
        <v>21</v>
      </c>
      <c r="D406" s="78">
        <f>IF('17'!E25="","",'17'!E25)</f>
        <v>46233</v>
      </c>
      <c r="E406" s="90" t="s">
        <v>91</v>
      </c>
      <c r="F406" s="85"/>
    </row>
    <row r="407" spans="1:6" x14ac:dyDescent="0.25">
      <c r="A407" s="106" t="s">
        <v>81</v>
      </c>
      <c r="B407" s="162"/>
      <c r="C407" s="4">
        <v>22</v>
      </c>
      <c r="D407" s="78">
        <f>IF('17'!E26="","",'17'!E26)</f>
        <v>46234</v>
      </c>
      <c r="E407" s="85"/>
      <c r="F407" s="85"/>
    </row>
    <row r="408" spans="1:6" x14ac:dyDescent="0.25">
      <c r="A408" s="106" t="s">
        <v>81</v>
      </c>
      <c r="B408" s="162"/>
      <c r="C408" s="4">
        <v>23</v>
      </c>
      <c r="D408" s="78">
        <f>IF('17'!E27="","",'17'!E27)</f>
        <v>46236</v>
      </c>
      <c r="E408" s="85"/>
      <c r="F408" s="85"/>
    </row>
    <row r="409" spans="1:6" x14ac:dyDescent="0.25">
      <c r="A409" s="106" t="s">
        <v>81</v>
      </c>
      <c r="B409" s="163"/>
      <c r="C409" s="4">
        <v>24</v>
      </c>
      <c r="D409" s="78">
        <f>IF('17'!E28="","",'17'!E28)</f>
        <v>46237</v>
      </c>
      <c r="E409" s="90" t="s">
        <v>91</v>
      </c>
      <c r="F409" s="85"/>
    </row>
    <row r="410" spans="1:6" hidden="1" x14ac:dyDescent="0.25">
      <c r="A410" s="107" t="s">
        <v>9</v>
      </c>
      <c r="B410" s="161" t="s">
        <v>9</v>
      </c>
      <c r="C410" s="4">
        <v>1</v>
      </c>
      <c r="D410" s="78">
        <f>IF('18'!E5="","",'18'!E5)</f>
        <v>46240</v>
      </c>
      <c r="E410" s="85"/>
      <c r="F410" s="85"/>
    </row>
    <row r="411" spans="1:6" hidden="1" x14ac:dyDescent="0.25">
      <c r="A411" s="107" t="s">
        <v>9</v>
      </c>
      <c r="B411" s="162"/>
      <c r="C411" s="4">
        <v>2</v>
      </c>
      <c r="D411" s="78">
        <f>IF('18'!E6="","",'18'!E6)</f>
        <v>46244</v>
      </c>
      <c r="E411" s="85"/>
      <c r="F411" s="85"/>
    </row>
    <row r="412" spans="1:6" hidden="1" x14ac:dyDescent="0.25">
      <c r="A412" s="107" t="s">
        <v>9</v>
      </c>
      <c r="B412" s="162"/>
      <c r="C412" s="4">
        <v>3</v>
      </c>
      <c r="D412" s="78">
        <f>IF('18'!E7="","",'18'!E7)</f>
        <v>46247</v>
      </c>
      <c r="E412" s="85"/>
      <c r="F412" s="85"/>
    </row>
    <row r="413" spans="1:6" hidden="1" x14ac:dyDescent="0.25">
      <c r="A413" s="107" t="s">
        <v>9</v>
      </c>
      <c r="B413" s="162"/>
      <c r="C413" s="4">
        <v>4</v>
      </c>
      <c r="D413" s="78">
        <f>IF('18'!E8="","",'18'!E8)</f>
        <v>46245</v>
      </c>
      <c r="E413" s="85"/>
      <c r="F413" s="85"/>
    </row>
    <row r="414" spans="1:6" hidden="1" x14ac:dyDescent="0.25">
      <c r="A414" s="107" t="s">
        <v>9</v>
      </c>
      <c r="B414" s="162"/>
      <c r="C414" s="4">
        <v>5</v>
      </c>
      <c r="D414" s="78">
        <f>IF('18'!E9="","",'18'!E9)</f>
        <v>46248</v>
      </c>
      <c r="E414" s="85"/>
      <c r="F414" s="85"/>
    </row>
    <row r="415" spans="1:6" hidden="1" x14ac:dyDescent="0.25">
      <c r="A415" s="107" t="s">
        <v>9</v>
      </c>
      <c r="B415" s="162"/>
      <c r="C415" s="4">
        <v>6</v>
      </c>
      <c r="D415" s="78">
        <f>IF('18'!E10="","",'18'!E10)</f>
        <v>46247</v>
      </c>
      <c r="E415" s="85"/>
      <c r="F415" s="85"/>
    </row>
    <row r="416" spans="1:6" hidden="1" x14ac:dyDescent="0.25">
      <c r="A416" s="107" t="s">
        <v>9</v>
      </c>
      <c r="B416" s="162"/>
      <c r="C416" s="4">
        <v>7</v>
      </c>
      <c r="D416" s="78">
        <f>IF('18'!E11="","",'18'!E11)</f>
        <v>46248</v>
      </c>
      <c r="E416" s="85"/>
      <c r="F416" s="85"/>
    </row>
    <row r="417" spans="1:6" hidden="1" x14ac:dyDescent="0.25">
      <c r="A417" s="107" t="s">
        <v>9</v>
      </c>
      <c r="B417" s="162"/>
      <c r="C417" s="4">
        <v>8</v>
      </c>
      <c r="D417" s="78">
        <f>IF('18'!E12="","",'18'!E12)</f>
        <v>46246</v>
      </c>
      <c r="E417" s="85"/>
      <c r="F417" s="85"/>
    </row>
    <row r="418" spans="1:6" hidden="1" x14ac:dyDescent="0.25">
      <c r="A418" s="107" t="s">
        <v>9</v>
      </c>
      <c r="B418" s="162"/>
      <c r="C418" s="4">
        <v>9</v>
      </c>
      <c r="D418" s="78">
        <f>IF('18'!E13="","",'18'!E13)</f>
        <v>46245</v>
      </c>
      <c r="E418" s="85"/>
      <c r="F418" s="85"/>
    </row>
    <row r="419" spans="1:6" hidden="1" x14ac:dyDescent="0.25">
      <c r="A419" s="107" t="s">
        <v>9</v>
      </c>
      <c r="B419" s="162"/>
      <c r="C419" s="4">
        <v>10</v>
      </c>
      <c r="D419" s="78">
        <f>IF('18'!E14="","",'18'!E14)</f>
        <v>46247</v>
      </c>
      <c r="E419" s="85"/>
      <c r="F419" s="85"/>
    </row>
    <row r="420" spans="1:6" hidden="1" x14ac:dyDescent="0.25">
      <c r="A420" s="107" t="s">
        <v>9</v>
      </c>
      <c r="B420" s="162"/>
      <c r="C420" s="4">
        <v>11</v>
      </c>
      <c r="D420" s="78">
        <f>IF('18'!E15="","",'18'!E15)</f>
        <v>46243</v>
      </c>
      <c r="E420" s="85"/>
      <c r="F420" s="85"/>
    </row>
    <row r="421" spans="1:6" hidden="1" x14ac:dyDescent="0.25">
      <c r="A421" s="107" t="s">
        <v>9</v>
      </c>
      <c r="B421" s="162"/>
      <c r="C421" s="4">
        <v>12</v>
      </c>
      <c r="D421" s="78">
        <f>IF('18'!E16="","",'18'!E16)</f>
        <v>46242</v>
      </c>
      <c r="E421" s="85"/>
      <c r="F421" s="85"/>
    </row>
    <row r="422" spans="1:6" hidden="1" x14ac:dyDescent="0.25">
      <c r="A422" s="107" t="s">
        <v>9</v>
      </c>
      <c r="B422" s="162"/>
      <c r="C422" s="4">
        <v>13</v>
      </c>
      <c r="D422" s="78">
        <f>IF('18'!E17="","",'18'!E17)</f>
        <v>46244</v>
      </c>
      <c r="E422" s="85"/>
      <c r="F422" s="85"/>
    </row>
    <row r="423" spans="1:6" hidden="1" x14ac:dyDescent="0.25">
      <c r="A423" s="107" t="s">
        <v>9</v>
      </c>
      <c r="B423" s="162"/>
      <c r="C423" s="4">
        <v>14</v>
      </c>
      <c r="D423" s="78">
        <f>IF('18'!E18="","",'18'!E18)</f>
        <v>46241</v>
      </c>
      <c r="E423" s="85"/>
      <c r="F423" s="85"/>
    </row>
    <row r="424" spans="1:6" hidden="1" x14ac:dyDescent="0.25">
      <c r="A424" s="107" t="s">
        <v>9</v>
      </c>
      <c r="B424" s="162"/>
      <c r="C424" s="4">
        <v>15</v>
      </c>
      <c r="D424" s="78">
        <f>IF('18'!E19="","",'18'!E19)</f>
        <v>46242</v>
      </c>
      <c r="E424" s="85"/>
      <c r="F424" s="85"/>
    </row>
    <row r="425" spans="1:6" x14ac:dyDescent="0.25">
      <c r="A425" s="107" t="s">
        <v>9</v>
      </c>
      <c r="B425" s="162"/>
      <c r="C425" s="4">
        <v>16</v>
      </c>
      <c r="D425" s="78">
        <f>IF('18'!E20="","",'18'!E20)</f>
        <v>46239</v>
      </c>
      <c r="E425" s="90" t="s">
        <v>91</v>
      </c>
      <c r="F425" s="85"/>
    </row>
    <row r="426" spans="1:6" hidden="1" x14ac:dyDescent="0.25">
      <c r="A426" s="107" t="s">
        <v>9</v>
      </c>
      <c r="B426" s="162"/>
      <c r="C426" s="4">
        <v>17</v>
      </c>
      <c r="D426" s="78">
        <f>IF('18'!E21="","",'18'!E21)</f>
        <v>46243</v>
      </c>
      <c r="E426" s="85"/>
      <c r="F426" s="85"/>
    </row>
    <row r="427" spans="1:6" x14ac:dyDescent="0.25">
      <c r="A427" s="107" t="s">
        <v>9</v>
      </c>
      <c r="B427" s="162"/>
      <c r="C427" s="4">
        <v>18</v>
      </c>
      <c r="D427" s="78">
        <f>IF('18'!E22="","",'18'!E22)</f>
        <v>46239</v>
      </c>
      <c r="E427" s="90" t="s">
        <v>91</v>
      </c>
      <c r="F427" s="85"/>
    </row>
    <row r="428" spans="1:6" hidden="1" x14ac:dyDescent="0.25">
      <c r="A428" s="107" t="s">
        <v>9</v>
      </c>
      <c r="B428" s="162"/>
      <c r="C428" s="4">
        <v>19</v>
      </c>
      <c r="D428" s="78">
        <f>IF('18'!E23="","",'18'!E23)</f>
        <v>46243</v>
      </c>
      <c r="E428" s="85"/>
      <c r="F428" s="85"/>
    </row>
    <row r="429" spans="1:6" x14ac:dyDescent="0.25">
      <c r="A429" s="107" t="s">
        <v>9</v>
      </c>
      <c r="B429" s="162"/>
      <c r="C429" s="4">
        <v>20</v>
      </c>
      <c r="D429" s="78">
        <f>IF('18'!E24="","",'18'!E24)</f>
        <v>46236</v>
      </c>
      <c r="E429" s="90" t="s">
        <v>91</v>
      </c>
      <c r="F429" s="85"/>
    </row>
    <row r="430" spans="1:6" hidden="1" x14ac:dyDescent="0.25">
      <c r="A430" s="107" t="s">
        <v>9</v>
      </c>
      <c r="B430" s="162"/>
      <c r="C430" s="4">
        <v>21</v>
      </c>
      <c r="D430" s="78">
        <f>IF('18'!E25="","",'18'!E25)</f>
        <v>46241</v>
      </c>
      <c r="E430" s="85"/>
      <c r="F430" s="85"/>
    </row>
    <row r="431" spans="1:6" hidden="1" x14ac:dyDescent="0.25">
      <c r="A431" s="107" t="s">
        <v>9</v>
      </c>
      <c r="B431" s="162"/>
      <c r="C431" s="4">
        <v>22</v>
      </c>
      <c r="D431" s="78">
        <f>IF('18'!E26="","",'18'!E26)</f>
        <v>46246</v>
      </c>
      <c r="E431" s="85"/>
      <c r="F431" s="85"/>
    </row>
    <row r="432" spans="1:6" hidden="1" x14ac:dyDescent="0.25">
      <c r="A432" s="107" t="s">
        <v>9</v>
      </c>
      <c r="B432" s="162"/>
      <c r="C432" s="4">
        <v>23</v>
      </c>
      <c r="D432" s="78">
        <f>IF('18'!E27="","",'18'!E27)</f>
        <v>46244</v>
      </c>
      <c r="E432" s="85"/>
      <c r="F432" s="85"/>
    </row>
    <row r="433" spans="1:6" hidden="1" x14ac:dyDescent="0.25">
      <c r="A433" s="107" t="s">
        <v>9</v>
      </c>
      <c r="B433" s="163"/>
      <c r="C433" s="4">
        <v>24</v>
      </c>
      <c r="D433" s="78">
        <f>IF('18'!E28="","",'18'!E28)</f>
        <v>46245</v>
      </c>
      <c r="E433" s="85"/>
      <c r="F433" s="85"/>
    </row>
    <row r="434" spans="1:6" hidden="1" x14ac:dyDescent="0.25">
      <c r="A434" s="108" t="s">
        <v>10</v>
      </c>
      <c r="B434" s="161" t="s">
        <v>10</v>
      </c>
      <c r="C434" s="4">
        <v>1</v>
      </c>
      <c r="D434" s="78" t="str">
        <f>IF('19'!E5="","",'19'!E5)</f>
        <v/>
      </c>
      <c r="E434" s="85"/>
      <c r="F434" s="85"/>
    </row>
    <row r="435" spans="1:6" hidden="1" x14ac:dyDescent="0.25">
      <c r="A435" s="108" t="s">
        <v>10</v>
      </c>
      <c r="B435" s="162"/>
      <c r="C435" s="4">
        <v>2</v>
      </c>
      <c r="D435" s="78" t="str">
        <f>IF('19'!E6="","",'19'!E6)</f>
        <v/>
      </c>
      <c r="E435" s="85"/>
      <c r="F435" s="85"/>
    </row>
    <row r="436" spans="1:6" hidden="1" x14ac:dyDescent="0.25">
      <c r="A436" s="108" t="s">
        <v>10</v>
      </c>
      <c r="B436" s="162"/>
      <c r="C436" s="4">
        <v>3</v>
      </c>
      <c r="D436" s="78" t="str">
        <f>IF('19'!E7="","",'19'!E7)</f>
        <v/>
      </c>
      <c r="E436" s="85"/>
      <c r="F436" s="85"/>
    </row>
    <row r="437" spans="1:6" hidden="1" x14ac:dyDescent="0.25">
      <c r="A437" s="108" t="s">
        <v>10</v>
      </c>
      <c r="B437" s="162"/>
      <c r="C437" s="4">
        <v>4</v>
      </c>
      <c r="D437" s="78" t="str">
        <f>IF('19'!E8="","",'19'!E8)</f>
        <v/>
      </c>
      <c r="E437" s="85"/>
      <c r="F437" s="85"/>
    </row>
    <row r="438" spans="1:6" hidden="1" x14ac:dyDescent="0.25">
      <c r="A438" s="108" t="s">
        <v>10</v>
      </c>
      <c r="B438" s="162"/>
      <c r="C438" s="4">
        <v>5</v>
      </c>
      <c r="D438" s="78" t="str">
        <f>IF('19'!E9="","",'19'!E9)</f>
        <v/>
      </c>
      <c r="E438" s="85"/>
      <c r="F438" s="85"/>
    </row>
    <row r="439" spans="1:6" hidden="1" x14ac:dyDescent="0.25">
      <c r="A439" s="108" t="s">
        <v>10</v>
      </c>
      <c r="B439" s="162"/>
      <c r="C439" s="4">
        <v>6</v>
      </c>
      <c r="D439" s="78" t="str">
        <f>IF('19'!E10="","",'19'!E10)</f>
        <v/>
      </c>
      <c r="E439" s="85"/>
      <c r="F439" s="85"/>
    </row>
    <row r="440" spans="1:6" hidden="1" x14ac:dyDescent="0.25">
      <c r="A440" s="108" t="s">
        <v>10</v>
      </c>
      <c r="B440" s="162"/>
      <c r="C440" s="4">
        <v>7</v>
      </c>
      <c r="D440" s="78" t="str">
        <f>IF('19'!E11="","",'19'!E11)</f>
        <v/>
      </c>
      <c r="E440" s="85"/>
      <c r="F440" s="85"/>
    </row>
    <row r="441" spans="1:6" hidden="1" x14ac:dyDescent="0.25">
      <c r="A441" s="108" t="s">
        <v>10</v>
      </c>
      <c r="B441" s="162"/>
      <c r="C441" s="4">
        <v>8</v>
      </c>
      <c r="D441" s="78" t="str">
        <f>IF('19'!E12="","",'19'!E12)</f>
        <v/>
      </c>
      <c r="E441" s="85"/>
      <c r="F441" s="85"/>
    </row>
    <row r="442" spans="1:6" hidden="1" x14ac:dyDescent="0.25">
      <c r="A442" s="108" t="s">
        <v>10</v>
      </c>
      <c r="B442" s="162"/>
      <c r="C442" s="4">
        <v>9</v>
      </c>
      <c r="D442" s="78" t="str">
        <f>IF('19'!E13="","",'19'!E13)</f>
        <v/>
      </c>
      <c r="E442" s="85"/>
      <c r="F442" s="85"/>
    </row>
    <row r="443" spans="1:6" hidden="1" x14ac:dyDescent="0.25">
      <c r="A443" s="108" t="s">
        <v>10</v>
      </c>
      <c r="B443" s="162"/>
      <c r="C443" s="4">
        <v>10</v>
      </c>
      <c r="D443" s="78" t="str">
        <f>IF('19'!E14="","",'19'!E14)</f>
        <v/>
      </c>
      <c r="E443" s="85"/>
      <c r="F443" s="85"/>
    </row>
    <row r="444" spans="1:6" hidden="1" x14ac:dyDescent="0.25">
      <c r="A444" s="108" t="s">
        <v>10</v>
      </c>
      <c r="B444" s="162"/>
      <c r="C444" s="4">
        <v>11</v>
      </c>
      <c r="D444" s="78" t="str">
        <f>IF('19'!E15="","",'19'!E15)</f>
        <v/>
      </c>
      <c r="E444" s="85"/>
      <c r="F444" s="85"/>
    </row>
    <row r="445" spans="1:6" hidden="1" x14ac:dyDescent="0.25">
      <c r="A445" s="108" t="s">
        <v>10</v>
      </c>
      <c r="B445" s="162"/>
      <c r="C445" s="4">
        <v>12</v>
      </c>
      <c r="D445" s="78" t="str">
        <f>IF('19'!E16="","",'19'!E16)</f>
        <v/>
      </c>
      <c r="E445" s="85"/>
      <c r="F445" s="85"/>
    </row>
    <row r="446" spans="1:6" hidden="1" x14ac:dyDescent="0.25">
      <c r="A446" s="108" t="s">
        <v>10</v>
      </c>
      <c r="B446" s="162"/>
      <c r="C446" s="4">
        <v>13</v>
      </c>
      <c r="D446" s="78" t="str">
        <f>IF('19'!E17="","",'19'!E17)</f>
        <v/>
      </c>
      <c r="E446" s="85"/>
      <c r="F446" s="85"/>
    </row>
    <row r="447" spans="1:6" hidden="1" x14ac:dyDescent="0.25">
      <c r="A447" s="108" t="s">
        <v>10</v>
      </c>
      <c r="B447" s="162"/>
      <c r="C447" s="4">
        <v>14</v>
      </c>
      <c r="D447" s="78" t="str">
        <f>IF('19'!E18="","",'19'!E18)</f>
        <v/>
      </c>
      <c r="E447" s="85"/>
      <c r="F447" s="85"/>
    </row>
    <row r="448" spans="1:6" hidden="1" x14ac:dyDescent="0.25">
      <c r="A448" s="108" t="s">
        <v>10</v>
      </c>
      <c r="B448" s="162"/>
      <c r="C448" s="4">
        <v>15</v>
      </c>
      <c r="D448" s="78" t="str">
        <f>IF('19'!E19="","",'19'!E19)</f>
        <v/>
      </c>
      <c r="E448" s="85"/>
      <c r="F448" s="85"/>
    </row>
    <row r="449" spans="1:6" hidden="1" x14ac:dyDescent="0.25">
      <c r="A449" s="108" t="s">
        <v>10</v>
      </c>
      <c r="B449" s="162"/>
      <c r="C449" s="4">
        <v>16</v>
      </c>
      <c r="D449" s="78" t="str">
        <f>IF('19'!E20="","",'19'!E20)</f>
        <v/>
      </c>
      <c r="E449" s="85"/>
      <c r="F449" s="85"/>
    </row>
    <row r="450" spans="1:6" hidden="1" x14ac:dyDescent="0.25">
      <c r="A450" s="108" t="s">
        <v>10</v>
      </c>
      <c r="B450" s="162"/>
      <c r="C450" s="4">
        <v>17</v>
      </c>
      <c r="D450" s="78" t="str">
        <f>IF('19'!E21="","",'19'!E21)</f>
        <v/>
      </c>
      <c r="E450" s="85"/>
      <c r="F450" s="85"/>
    </row>
    <row r="451" spans="1:6" hidden="1" x14ac:dyDescent="0.25">
      <c r="A451" s="108" t="s">
        <v>10</v>
      </c>
      <c r="B451" s="162"/>
      <c r="C451" s="4">
        <v>18</v>
      </c>
      <c r="D451" s="78" t="str">
        <f>IF('19'!E22="","",'19'!E22)</f>
        <v/>
      </c>
      <c r="E451" s="85"/>
      <c r="F451" s="85"/>
    </row>
    <row r="452" spans="1:6" hidden="1" x14ac:dyDescent="0.25">
      <c r="A452" s="108" t="s">
        <v>10</v>
      </c>
      <c r="B452" s="162"/>
      <c r="C452" s="4">
        <v>19</v>
      </c>
      <c r="D452" s="78" t="str">
        <f>IF('19'!E23="","",'19'!E23)</f>
        <v/>
      </c>
      <c r="E452" s="85"/>
      <c r="F452" s="85"/>
    </row>
    <row r="453" spans="1:6" hidden="1" x14ac:dyDescent="0.25">
      <c r="A453" s="108" t="s">
        <v>10</v>
      </c>
      <c r="B453" s="162"/>
      <c r="C453" s="4">
        <v>20</v>
      </c>
      <c r="D453" s="78" t="str">
        <f>IF('19'!E24="","",'19'!E24)</f>
        <v/>
      </c>
      <c r="E453" s="85"/>
      <c r="F453" s="85"/>
    </row>
    <row r="454" spans="1:6" hidden="1" x14ac:dyDescent="0.25">
      <c r="A454" s="108" t="s">
        <v>10</v>
      </c>
      <c r="B454" s="162"/>
      <c r="C454" s="4">
        <v>21</v>
      </c>
      <c r="D454" s="78" t="str">
        <f>IF('19'!E25="","",'19'!E25)</f>
        <v/>
      </c>
      <c r="E454" s="85"/>
      <c r="F454" s="85"/>
    </row>
    <row r="455" spans="1:6" hidden="1" x14ac:dyDescent="0.25">
      <c r="A455" s="108" t="s">
        <v>10</v>
      </c>
      <c r="B455" s="162"/>
      <c r="C455" s="4">
        <v>22</v>
      </c>
      <c r="D455" s="78" t="str">
        <f>IF('19'!E26="","",'19'!E26)</f>
        <v/>
      </c>
      <c r="E455" s="85"/>
      <c r="F455" s="85"/>
    </row>
    <row r="456" spans="1:6" hidden="1" x14ac:dyDescent="0.25">
      <c r="A456" s="108" t="s">
        <v>10</v>
      </c>
      <c r="B456" s="162"/>
      <c r="C456" s="4">
        <v>23</v>
      </c>
      <c r="D456" s="78" t="str">
        <f>IF('19'!E27="","",'19'!E27)</f>
        <v/>
      </c>
      <c r="E456" s="85"/>
      <c r="F456" s="85"/>
    </row>
    <row r="457" spans="1:6" hidden="1" x14ac:dyDescent="0.25">
      <c r="A457" s="108" t="s">
        <v>10</v>
      </c>
      <c r="B457" s="163"/>
      <c r="C457" s="4">
        <v>24</v>
      </c>
      <c r="D457" s="78" t="str">
        <f>IF('19'!E28="","",'19'!E28)</f>
        <v/>
      </c>
      <c r="E457" s="85"/>
      <c r="F457" s="85"/>
    </row>
    <row r="458" spans="1:6" hidden="1" x14ac:dyDescent="0.25">
      <c r="A458" s="97" t="s">
        <v>11</v>
      </c>
      <c r="B458" s="161" t="s">
        <v>11</v>
      </c>
      <c r="C458" s="4">
        <v>1</v>
      </c>
      <c r="D458" s="78" t="str">
        <f>IF('20'!E5="","",'20'!E5)</f>
        <v/>
      </c>
      <c r="E458" s="85"/>
      <c r="F458" s="85"/>
    </row>
    <row r="459" spans="1:6" hidden="1" x14ac:dyDescent="0.25">
      <c r="A459" s="97" t="s">
        <v>11</v>
      </c>
      <c r="B459" s="162"/>
      <c r="C459" s="4">
        <v>2</v>
      </c>
      <c r="D459" s="78" t="str">
        <f>IF('20'!E6="","",'20'!E6)</f>
        <v/>
      </c>
      <c r="E459" s="85"/>
      <c r="F459" s="85"/>
    </row>
    <row r="460" spans="1:6" hidden="1" x14ac:dyDescent="0.25">
      <c r="A460" s="97" t="s">
        <v>11</v>
      </c>
      <c r="B460" s="162"/>
      <c r="C460" s="4">
        <v>3</v>
      </c>
      <c r="D460" s="78" t="str">
        <f>IF('20'!E7="","",'20'!E7)</f>
        <v/>
      </c>
      <c r="E460" s="85"/>
      <c r="F460" s="85"/>
    </row>
    <row r="461" spans="1:6" hidden="1" x14ac:dyDescent="0.25">
      <c r="A461" s="97" t="s">
        <v>11</v>
      </c>
      <c r="B461" s="162"/>
      <c r="C461" s="4">
        <v>4</v>
      </c>
      <c r="D461" s="78" t="str">
        <f>IF('20'!E8="","",'20'!E8)</f>
        <v/>
      </c>
      <c r="E461" s="85"/>
      <c r="F461" s="85"/>
    </row>
    <row r="462" spans="1:6" hidden="1" x14ac:dyDescent="0.25">
      <c r="A462" s="97" t="s">
        <v>11</v>
      </c>
      <c r="B462" s="162"/>
      <c r="C462" s="4">
        <v>5</v>
      </c>
      <c r="D462" s="78" t="str">
        <f>IF('20'!E9="","",'20'!E9)</f>
        <v/>
      </c>
      <c r="E462" s="85"/>
      <c r="F462" s="85"/>
    </row>
    <row r="463" spans="1:6" hidden="1" x14ac:dyDescent="0.25">
      <c r="A463" s="97" t="s">
        <v>11</v>
      </c>
      <c r="B463" s="162"/>
      <c r="C463" s="4">
        <v>6</v>
      </c>
      <c r="D463" s="78" t="str">
        <f>IF('20'!E10="","",'20'!E10)</f>
        <v/>
      </c>
      <c r="E463" s="85"/>
      <c r="F463" s="85"/>
    </row>
    <row r="464" spans="1:6" hidden="1" x14ac:dyDescent="0.25">
      <c r="A464" s="97" t="s">
        <v>11</v>
      </c>
      <c r="B464" s="162"/>
      <c r="C464" s="4">
        <v>7</v>
      </c>
      <c r="D464" s="78" t="str">
        <f>IF('20'!E11="","",'20'!E11)</f>
        <v/>
      </c>
      <c r="E464" s="85"/>
      <c r="F464" s="85"/>
    </row>
    <row r="465" spans="1:6" hidden="1" x14ac:dyDescent="0.25">
      <c r="A465" s="97" t="s">
        <v>11</v>
      </c>
      <c r="B465" s="162"/>
      <c r="C465" s="4">
        <v>8</v>
      </c>
      <c r="D465" s="78" t="str">
        <f>IF('20'!E12="","",'20'!E12)</f>
        <v/>
      </c>
      <c r="E465" s="85"/>
      <c r="F465" s="85"/>
    </row>
    <row r="466" spans="1:6" hidden="1" x14ac:dyDescent="0.25">
      <c r="A466" s="97" t="s">
        <v>11</v>
      </c>
      <c r="B466" s="162"/>
      <c r="C466" s="4">
        <v>9</v>
      </c>
      <c r="D466" s="78" t="str">
        <f>IF('20'!E13="","",'20'!E13)</f>
        <v/>
      </c>
      <c r="E466" s="85"/>
      <c r="F466" s="85"/>
    </row>
    <row r="467" spans="1:6" hidden="1" x14ac:dyDescent="0.25">
      <c r="A467" s="97" t="s">
        <v>11</v>
      </c>
      <c r="B467" s="162"/>
      <c r="C467" s="4">
        <v>10</v>
      </c>
      <c r="D467" s="78" t="str">
        <f>IF('20'!E14="","",'20'!E14)</f>
        <v/>
      </c>
      <c r="E467" s="85"/>
      <c r="F467" s="85"/>
    </row>
    <row r="468" spans="1:6" hidden="1" x14ac:dyDescent="0.25">
      <c r="A468" s="97" t="s">
        <v>11</v>
      </c>
      <c r="B468" s="162"/>
      <c r="C468" s="4">
        <v>11</v>
      </c>
      <c r="D468" s="78" t="str">
        <f>IF('20'!E15="","",'20'!E15)</f>
        <v/>
      </c>
      <c r="E468" s="85"/>
      <c r="F468" s="85"/>
    </row>
    <row r="469" spans="1:6" hidden="1" x14ac:dyDescent="0.25">
      <c r="A469" s="97" t="s">
        <v>11</v>
      </c>
      <c r="B469" s="162"/>
      <c r="C469" s="4">
        <v>12</v>
      </c>
      <c r="D469" s="78" t="str">
        <f>IF('20'!E16="","",'20'!E16)</f>
        <v/>
      </c>
      <c r="E469" s="85"/>
      <c r="F469" s="85"/>
    </row>
    <row r="470" spans="1:6" hidden="1" x14ac:dyDescent="0.25">
      <c r="A470" s="97" t="s">
        <v>11</v>
      </c>
      <c r="B470" s="162"/>
      <c r="C470" s="4">
        <v>13</v>
      </c>
      <c r="D470" s="78" t="str">
        <f>IF('20'!E17="","",'20'!E17)</f>
        <v/>
      </c>
      <c r="E470" s="85"/>
      <c r="F470" s="85"/>
    </row>
    <row r="471" spans="1:6" hidden="1" x14ac:dyDescent="0.25">
      <c r="A471" s="97" t="s">
        <v>11</v>
      </c>
      <c r="B471" s="162"/>
      <c r="C471" s="4">
        <v>14</v>
      </c>
      <c r="D471" s="78" t="str">
        <f>IF('20'!E18="","",'20'!E18)</f>
        <v/>
      </c>
      <c r="E471" s="85"/>
      <c r="F471" s="85"/>
    </row>
    <row r="472" spans="1:6" hidden="1" x14ac:dyDescent="0.25">
      <c r="A472" s="97" t="s">
        <v>11</v>
      </c>
      <c r="B472" s="162"/>
      <c r="C472" s="4">
        <v>15</v>
      </c>
      <c r="D472" s="78" t="str">
        <f>IF('20'!E19="","",'20'!E19)</f>
        <v/>
      </c>
      <c r="E472" s="85"/>
      <c r="F472" s="85"/>
    </row>
    <row r="473" spans="1:6" hidden="1" x14ac:dyDescent="0.25">
      <c r="A473" s="97" t="s">
        <v>11</v>
      </c>
      <c r="B473" s="162"/>
      <c r="C473" s="4">
        <v>16</v>
      </c>
      <c r="D473" s="78" t="str">
        <f>IF('20'!E20="","",'20'!E20)</f>
        <v/>
      </c>
      <c r="E473" s="85"/>
      <c r="F473" s="85"/>
    </row>
    <row r="474" spans="1:6" hidden="1" x14ac:dyDescent="0.25">
      <c r="A474" s="97" t="s">
        <v>11</v>
      </c>
      <c r="B474" s="162"/>
      <c r="C474" s="4">
        <v>17</v>
      </c>
      <c r="D474" s="78" t="str">
        <f>IF('20'!E21="","",'20'!E21)</f>
        <v/>
      </c>
      <c r="E474" s="85"/>
      <c r="F474" s="85"/>
    </row>
    <row r="475" spans="1:6" hidden="1" x14ac:dyDescent="0.25">
      <c r="A475" s="97" t="s">
        <v>11</v>
      </c>
      <c r="B475" s="162"/>
      <c r="C475" s="4">
        <v>18</v>
      </c>
      <c r="D475" s="78" t="str">
        <f>IF('20'!E22="","",'20'!E22)</f>
        <v/>
      </c>
      <c r="E475" s="85"/>
      <c r="F475" s="85"/>
    </row>
    <row r="476" spans="1:6" hidden="1" x14ac:dyDescent="0.25">
      <c r="A476" s="97" t="s">
        <v>11</v>
      </c>
      <c r="B476" s="162"/>
      <c r="C476" s="4">
        <v>19</v>
      </c>
      <c r="D476" s="78" t="str">
        <f>IF('20'!E23="","",'20'!E23)</f>
        <v/>
      </c>
      <c r="E476" s="85"/>
      <c r="F476" s="85"/>
    </row>
    <row r="477" spans="1:6" hidden="1" x14ac:dyDescent="0.25">
      <c r="A477" s="97" t="s">
        <v>11</v>
      </c>
      <c r="B477" s="162"/>
      <c r="C477" s="4">
        <v>20</v>
      </c>
      <c r="D477" s="78" t="str">
        <f>IF('20'!E24="","",'20'!E24)</f>
        <v/>
      </c>
      <c r="E477" s="85"/>
      <c r="F477" s="85"/>
    </row>
    <row r="478" spans="1:6" hidden="1" x14ac:dyDescent="0.25">
      <c r="A478" s="97" t="s">
        <v>11</v>
      </c>
      <c r="B478" s="162"/>
      <c r="C478" s="4">
        <v>21</v>
      </c>
      <c r="D478" s="78" t="str">
        <f>IF('20'!E25="","",'20'!E25)</f>
        <v/>
      </c>
      <c r="E478" s="85"/>
      <c r="F478" s="85"/>
    </row>
    <row r="479" spans="1:6" hidden="1" x14ac:dyDescent="0.25">
      <c r="A479" s="97" t="s">
        <v>11</v>
      </c>
      <c r="B479" s="162"/>
      <c r="C479" s="4">
        <v>22</v>
      </c>
      <c r="D479" s="78" t="str">
        <f>IF('20'!E26="","",'20'!E26)</f>
        <v/>
      </c>
      <c r="E479" s="85"/>
      <c r="F479" s="85"/>
    </row>
    <row r="480" spans="1:6" hidden="1" x14ac:dyDescent="0.25">
      <c r="A480" s="97" t="s">
        <v>11</v>
      </c>
      <c r="B480" s="162"/>
      <c r="C480" s="4">
        <v>23</v>
      </c>
      <c r="D480" s="78" t="str">
        <f>IF('20'!E27="","",'20'!E27)</f>
        <v/>
      </c>
      <c r="E480" s="85"/>
      <c r="F480" s="85"/>
    </row>
    <row r="481" spans="1:6" hidden="1" x14ac:dyDescent="0.25">
      <c r="A481" s="97" t="s">
        <v>11</v>
      </c>
      <c r="B481" s="163"/>
      <c r="C481" s="4">
        <v>24</v>
      </c>
      <c r="D481" s="78" t="str">
        <f>IF('20'!E28="","",'20'!E28)</f>
        <v/>
      </c>
      <c r="E481" s="85"/>
      <c r="F481" s="85"/>
    </row>
  </sheetData>
  <autoFilter ref="A1:F481" xr:uid="{E889923D-7653-4960-954B-38E4F494AEF4}">
    <filterColumn colId="3">
      <customFilters>
        <customFilter operator="notEqual" val=" "/>
      </customFilters>
    </filterColumn>
  </autoFilter>
  <mergeCells count="20">
    <mergeCell ref="B386:B409"/>
    <mergeCell ref="B410:B433"/>
    <mergeCell ref="B434:B457"/>
    <mergeCell ref="B458:B481"/>
    <mergeCell ref="B242:B265"/>
    <mergeCell ref="B266:B289"/>
    <mergeCell ref="B290:B313"/>
    <mergeCell ref="B314:B337"/>
    <mergeCell ref="B338:B361"/>
    <mergeCell ref="B362:B385"/>
    <mergeCell ref="B218:B2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94F2C-B748-40C8-89A7-7963B00BA06D}">
  <sheetPr filterMode="1"/>
  <dimension ref="A1:E481"/>
  <sheetViews>
    <sheetView zoomScale="70" zoomScaleNormal="70" workbookViewId="0">
      <selection activeCell="G282" sqref="G282"/>
    </sheetView>
  </sheetViews>
  <sheetFormatPr defaultRowHeight="15" x14ac:dyDescent="0.25"/>
  <cols>
    <col min="1" max="1" width="9.140625" style="84"/>
    <col min="2" max="2" width="9.140625" hidden="1" customWidth="1"/>
    <col min="3" max="3" width="11.5703125" customWidth="1"/>
    <col min="4" max="4" width="17.28515625" style="86" customWidth="1"/>
    <col min="5" max="5" width="31.7109375" style="83" customWidth="1"/>
  </cols>
  <sheetData>
    <row r="1" spans="1:5" ht="39" customHeight="1" x14ac:dyDescent="0.25">
      <c r="A1" s="87" t="s">
        <v>0</v>
      </c>
      <c r="B1" s="87"/>
      <c r="C1" s="87" t="s">
        <v>88</v>
      </c>
      <c r="D1" s="87" t="s">
        <v>67</v>
      </c>
      <c r="E1" s="110" t="s">
        <v>179</v>
      </c>
    </row>
    <row r="2" spans="1:5" hidden="1" x14ac:dyDescent="0.25">
      <c r="A2" s="91" t="s">
        <v>84</v>
      </c>
      <c r="B2" s="161" t="s">
        <v>84</v>
      </c>
      <c r="C2" s="4">
        <v>1</v>
      </c>
      <c r="D2" s="78" t="str">
        <f>IF('1'!E5="","",'1'!E5)</f>
        <v/>
      </c>
      <c r="E2" s="111"/>
    </row>
    <row r="3" spans="1:5" hidden="1" x14ac:dyDescent="0.25">
      <c r="A3" s="91" t="s">
        <v>84</v>
      </c>
      <c r="B3" s="162"/>
      <c r="C3" s="4">
        <v>2</v>
      </c>
      <c r="D3" s="78" t="str">
        <f>IF('1'!E6="","",'1'!E6)</f>
        <v/>
      </c>
      <c r="E3" s="111"/>
    </row>
    <row r="4" spans="1:5" hidden="1" x14ac:dyDescent="0.25">
      <c r="A4" s="91" t="s">
        <v>84</v>
      </c>
      <c r="B4" s="162"/>
      <c r="C4" s="4">
        <v>3</v>
      </c>
      <c r="D4" s="78" t="str">
        <f>IF('1'!E7="","",'1'!E7)</f>
        <v/>
      </c>
      <c r="E4" s="111"/>
    </row>
    <row r="5" spans="1:5" hidden="1" x14ac:dyDescent="0.25">
      <c r="A5" s="91" t="s">
        <v>84</v>
      </c>
      <c r="B5" s="162"/>
      <c r="C5" s="4">
        <v>4</v>
      </c>
      <c r="D5" s="78" t="str">
        <f>IF('1'!E8="","",'1'!E8)</f>
        <v/>
      </c>
      <c r="E5" s="111"/>
    </row>
    <row r="6" spans="1:5" hidden="1" x14ac:dyDescent="0.25">
      <c r="A6" s="91" t="s">
        <v>84</v>
      </c>
      <c r="B6" s="162"/>
      <c r="C6" s="4">
        <v>5</v>
      </c>
      <c r="D6" s="78" t="str">
        <f>IF('1'!E9="","",'1'!E9)</f>
        <v/>
      </c>
      <c r="E6" s="111"/>
    </row>
    <row r="7" spans="1:5" hidden="1" x14ac:dyDescent="0.25">
      <c r="A7" s="91" t="s">
        <v>84</v>
      </c>
      <c r="B7" s="162"/>
      <c r="C7" s="4">
        <v>6</v>
      </c>
      <c r="D7" s="78" t="str">
        <f>IF('1'!E10="","",'1'!E10)</f>
        <v/>
      </c>
      <c r="E7" s="111"/>
    </row>
    <row r="8" spans="1:5" hidden="1" x14ac:dyDescent="0.25">
      <c r="A8" s="91" t="s">
        <v>84</v>
      </c>
      <c r="B8" s="162"/>
      <c r="C8" s="4">
        <v>7</v>
      </c>
      <c r="D8" s="78" t="str">
        <f>IF('1'!E11="","",'1'!E11)</f>
        <v/>
      </c>
      <c r="E8" s="111"/>
    </row>
    <row r="9" spans="1:5" hidden="1" x14ac:dyDescent="0.25">
      <c r="A9" s="91" t="s">
        <v>84</v>
      </c>
      <c r="B9" s="162"/>
      <c r="C9" s="4">
        <v>8</v>
      </c>
      <c r="D9" s="78" t="str">
        <f>IF('1'!E12="","",'1'!E12)</f>
        <v/>
      </c>
      <c r="E9" s="111"/>
    </row>
    <row r="10" spans="1:5" hidden="1" x14ac:dyDescent="0.25">
      <c r="A10" s="91" t="s">
        <v>84</v>
      </c>
      <c r="B10" s="162"/>
      <c r="C10" s="4">
        <v>9</v>
      </c>
      <c r="D10" s="78" t="str">
        <f>IF('1'!E13="","",'1'!E13)</f>
        <v/>
      </c>
      <c r="E10" s="111"/>
    </row>
    <row r="11" spans="1:5" hidden="1" x14ac:dyDescent="0.25">
      <c r="A11" s="91" t="s">
        <v>84</v>
      </c>
      <c r="B11" s="162"/>
      <c r="C11" s="4">
        <v>10</v>
      </c>
      <c r="D11" s="78" t="str">
        <f>IF('1'!E14="","",'1'!E14)</f>
        <v/>
      </c>
      <c r="E11" s="111"/>
    </row>
    <row r="12" spans="1:5" hidden="1" x14ac:dyDescent="0.25">
      <c r="A12" s="91" t="s">
        <v>84</v>
      </c>
      <c r="B12" s="162"/>
      <c r="C12" s="4">
        <v>11</v>
      </c>
      <c r="D12" s="78" t="str">
        <f>IF('1'!E15="","",'1'!E15)</f>
        <v/>
      </c>
      <c r="E12" s="111"/>
    </row>
    <row r="13" spans="1:5" hidden="1" x14ac:dyDescent="0.25">
      <c r="A13" s="91" t="s">
        <v>84</v>
      </c>
      <c r="B13" s="162"/>
      <c r="C13" s="4">
        <v>12</v>
      </c>
      <c r="D13" s="78" t="str">
        <f>IF('1'!E16="","",'1'!E16)</f>
        <v/>
      </c>
      <c r="E13" s="111"/>
    </row>
    <row r="14" spans="1:5" hidden="1" x14ac:dyDescent="0.25">
      <c r="A14" s="91" t="s">
        <v>84</v>
      </c>
      <c r="B14" s="162"/>
      <c r="C14" s="4">
        <v>13</v>
      </c>
      <c r="D14" s="78" t="str">
        <f>IF('1'!E17="","",'1'!E17)</f>
        <v/>
      </c>
      <c r="E14" s="111"/>
    </row>
    <row r="15" spans="1:5" hidden="1" x14ac:dyDescent="0.25">
      <c r="A15" s="91" t="s">
        <v>84</v>
      </c>
      <c r="B15" s="162"/>
      <c r="C15" s="4">
        <v>14</v>
      </c>
      <c r="D15" s="78" t="str">
        <f>IF('1'!E18="","",'1'!E18)</f>
        <v/>
      </c>
      <c r="E15" s="111"/>
    </row>
    <row r="16" spans="1:5" hidden="1" x14ac:dyDescent="0.25">
      <c r="A16" s="91" t="s">
        <v>84</v>
      </c>
      <c r="B16" s="162"/>
      <c r="C16" s="4">
        <v>15</v>
      </c>
      <c r="D16" s="78" t="str">
        <f>IF('1'!E19="","",'1'!E19)</f>
        <v/>
      </c>
      <c r="E16" s="111"/>
    </row>
    <row r="17" spans="1:5" hidden="1" x14ac:dyDescent="0.25">
      <c r="A17" s="91" t="s">
        <v>84</v>
      </c>
      <c r="B17" s="162"/>
      <c r="C17" s="4">
        <v>16</v>
      </c>
      <c r="D17" s="78" t="str">
        <f>IF('1'!E20="","",'1'!E20)</f>
        <v/>
      </c>
      <c r="E17" s="111"/>
    </row>
    <row r="18" spans="1:5" hidden="1" x14ac:dyDescent="0.25">
      <c r="A18" s="91" t="s">
        <v>84</v>
      </c>
      <c r="B18" s="162"/>
      <c r="C18" s="4">
        <v>17</v>
      </c>
      <c r="D18" s="78" t="str">
        <f>IF('1'!E21="","",'1'!E21)</f>
        <v/>
      </c>
      <c r="E18" s="111"/>
    </row>
    <row r="19" spans="1:5" hidden="1" x14ac:dyDescent="0.25">
      <c r="A19" s="91" t="s">
        <v>84</v>
      </c>
      <c r="B19" s="162"/>
      <c r="C19" s="4">
        <v>18</v>
      </c>
      <c r="D19" s="78" t="str">
        <f>IF('1'!E22="","",'1'!E22)</f>
        <v/>
      </c>
      <c r="E19" s="111"/>
    </row>
    <row r="20" spans="1:5" hidden="1" x14ac:dyDescent="0.25">
      <c r="A20" s="91" t="s">
        <v>84</v>
      </c>
      <c r="B20" s="162"/>
      <c r="C20" s="4">
        <v>19</v>
      </c>
      <c r="D20" s="78" t="str">
        <f>IF('1'!E23="","",'1'!E23)</f>
        <v/>
      </c>
      <c r="E20" s="111"/>
    </row>
    <row r="21" spans="1:5" hidden="1" x14ac:dyDescent="0.25">
      <c r="A21" s="91" t="s">
        <v>84</v>
      </c>
      <c r="B21" s="162"/>
      <c r="C21" s="4">
        <v>20</v>
      </c>
      <c r="D21" s="78" t="str">
        <f>IF('1'!E24="","",'1'!E24)</f>
        <v/>
      </c>
      <c r="E21" s="111"/>
    </row>
    <row r="22" spans="1:5" hidden="1" x14ac:dyDescent="0.25">
      <c r="A22" s="91" t="s">
        <v>84</v>
      </c>
      <c r="B22" s="162"/>
      <c r="C22" s="4">
        <v>21</v>
      </c>
      <c r="D22" s="78" t="str">
        <f>IF('1'!E25="","",'1'!E25)</f>
        <v/>
      </c>
      <c r="E22" s="111"/>
    </row>
    <row r="23" spans="1:5" hidden="1" x14ac:dyDescent="0.25">
      <c r="A23" s="91" t="s">
        <v>84</v>
      </c>
      <c r="B23" s="162"/>
      <c r="C23" s="4">
        <v>22</v>
      </c>
      <c r="D23" s="78" t="str">
        <f>IF('1'!E26="","",'1'!E26)</f>
        <v/>
      </c>
      <c r="E23" s="111"/>
    </row>
    <row r="24" spans="1:5" hidden="1" x14ac:dyDescent="0.25">
      <c r="A24" s="91" t="s">
        <v>84</v>
      </c>
      <c r="B24" s="162"/>
      <c r="C24" s="4">
        <v>23</v>
      </c>
      <c r="D24" s="78" t="str">
        <f>IF('1'!E27="","",'1'!E27)</f>
        <v/>
      </c>
      <c r="E24" s="111"/>
    </row>
    <row r="25" spans="1:5" hidden="1" x14ac:dyDescent="0.25">
      <c r="A25" s="91" t="s">
        <v>84</v>
      </c>
      <c r="B25" s="163"/>
      <c r="C25" s="4">
        <v>24</v>
      </c>
      <c r="D25" s="78" t="str">
        <f>IF('1'!E28="","",'1'!E28)</f>
        <v/>
      </c>
      <c r="E25" s="111"/>
    </row>
    <row r="26" spans="1:5" hidden="1" x14ac:dyDescent="0.25">
      <c r="A26" s="92" t="s">
        <v>5</v>
      </c>
      <c r="B26" s="161" t="s">
        <v>5</v>
      </c>
      <c r="C26" s="4">
        <v>1</v>
      </c>
      <c r="D26" s="78" t="str">
        <f>IF('2'!E5="","",'2'!E5)</f>
        <v/>
      </c>
      <c r="E26" s="111"/>
    </row>
    <row r="27" spans="1:5" hidden="1" x14ac:dyDescent="0.25">
      <c r="A27" s="92" t="s">
        <v>5</v>
      </c>
      <c r="B27" s="162"/>
      <c r="C27" s="4">
        <v>2</v>
      </c>
      <c r="D27" s="78">
        <f>IF('2'!E6="","",'2'!E6)</f>
        <v>46253</v>
      </c>
      <c r="E27" s="111"/>
    </row>
    <row r="28" spans="1:5" hidden="1" x14ac:dyDescent="0.25">
      <c r="A28" s="92" t="s">
        <v>5</v>
      </c>
      <c r="B28" s="162"/>
      <c r="C28" s="4">
        <v>3</v>
      </c>
      <c r="D28" s="78">
        <f>IF('2'!E7="","",'2'!E7)</f>
        <v>46252</v>
      </c>
      <c r="E28" s="111"/>
    </row>
    <row r="29" spans="1:5" hidden="1" x14ac:dyDescent="0.25">
      <c r="A29" s="92" t="s">
        <v>5</v>
      </c>
      <c r="B29" s="162"/>
      <c r="C29" s="4">
        <v>4</v>
      </c>
      <c r="D29" s="78">
        <f>IF('2'!E8="","",'2'!E8)</f>
        <v>46248</v>
      </c>
      <c r="E29" s="111"/>
    </row>
    <row r="30" spans="1:5" hidden="1" x14ac:dyDescent="0.25">
      <c r="A30" s="92" t="s">
        <v>5</v>
      </c>
      <c r="B30" s="162"/>
      <c r="C30" s="4">
        <v>5</v>
      </c>
      <c r="D30" s="78">
        <f>IF('2'!E9="","",'2'!E9)</f>
        <v>46251</v>
      </c>
      <c r="E30" s="111"/>
    </row>
    <row r="31" spans="1:5" hidden="1" x14ac:dyDescent="0.25">
      <c r="A31" s="92" t="s">
        <v>5</v>
      </c>
      <c r="B31" s="162"/>
      <c r="C31" s="4">
        <v>6</v>
      </c>
      <c r="D31" s="78">
        <f>IF('2'!E10="","",'2'!E10)</f>
        <v>46247</v>
      </c>
      <c r="E31" s="111"/>
    </row>
    <row r="32" spans="1:5" hidden="1" x14ac:dyDescent="0.25">
      <c r="A32" s="92" t="s">
        <v>5</v>
      </c>
      <c r="B32" s="162"/>
      <c r="C32" s="4">
        <v>7</v>
      </c>
      <c r="D32" s="78">
        <f>IF('2'!E11="","",'2'!E11)</f>
        <v>46250</v>
      </c>
      <c r="E32" s="111"/>
    </row>
    <row r="33" spans="1:5" hidden="1" x14ac:dyDescent="0.25">
      <c r="A33" s="92" t="s">
        <v>5</v>
      </c>
      <c r="B33" s="162"/>
      <c r="C33" s="4">
        <v>8</v>
      </c>
      <c r="D33" s="78">
        <f>IF('2'!E12="","",'2'!E12)</f>
        <v>46247</v>
      </c>
      <c r="E33" s="111"/>
    </row>
    <row r="34" spans="1:5" hidden="1" x14ac:dyDescent="0.25">
      <c r="A34" s="92" t="s">
        <v>5</v>
      </c>
      <c r="B34" s="162"/>
      <c r="C34" s="4">
        <v>9</v>
      </c>
      <c r="D34" s="78">
        <f>IF('2'!E13="","",'2'!E13)</f>
        <v>46250</v>
      </c>
      <c r="E34" s="111"/>
    </row>
    <row r="35" spans="1:5" hidden="1" x14ac:dyDescent="0.25">
      <c r="A35" s="92" t="s">
        <v>5</v>
      </c>
      <c r="B35" s="162"/>
      <c r="C35" s="4">
        <v>10</v>
      </c>
      <c r="D35" s="78">
        <f>IF('2'!E14="","",'2'!E14)</f>
        <v>46246</v>
      </c>
      <c r="E35" s="111"/>
    </row>
    <row r="36" spans="1:5" hidden="1" x14ac:dyDescent="0.25">
      <c r="A36" s="92" t="s">
        <v>5</v>
      </c>
      <c r="B36" s="162"/>
      <c r="C36" s="4">
        <v>11</v>
      </c>
      <c r="D36" s="78">
        <f>IF('2'!E15="","",'2'!E15)</f>
        <v>46250</v>
      </c>
      <c r="E36" s="111"/>
    </row>
    <row r="37" spans="1:5" hidden="1" x14ac:dyDescent="0.25">
      <c r="A37" s="92" t="s">
        <v>5</v>
      </c>
      <c r="B37" s="162"/>
      <c r="C37" s="4">
        <v>12</v>
      </c>
      <c r="D37" s="78">
        <f>IF('2'!E16="","",'2'!E16)</f>
        <v>46246</v>
      </c>
      <c r="E37" s="111"/>
    </row>
    <row r="38" spans="1:5" hidden="1" x14ac:dyDescent="0.25">
      <c r="A38" s="92" t="s">
        <v>5</v>
      </c>
      <c r="B38" s="162"/>
      <c r="C38" s="4">
        <v>13</v>
      </c>
      <c r="D38" s="78">
        <f>IF('2'!E17="","",'2'!E17)</f>
        <v>46250</v>
      </c>
      <c r="E38" s="111"/>
    </row>
    <row r="39" spans="1:5" hidden="1" x14ac:dyDescent="0.25">
      <c r="A39" s="92" t="s">
        <v>5</v>
      </c>
      <c r="B39" s="162"/>
      <c r="C39" s="4">
        <v>14</v>
      </c>
      <c r="D39" s="78">
        <f>IF('2'!E18="","",'2'!E18)</f>
        <v>46251</v>
      </c>
      <c r="E39" s="111"/>
    </row>
    <row r="40" spans="1:5" hidden="1" x14ac:dyDescent="0.25">
      <c r="A40" s="92" t="s">
        <v>5</v>
      </c>
      <c r="B40" s="162"/>
      <c r="C40" s="4">
        <v>15</v>
      </c>
      <c r="D40" s="78">
        <f>IF('2'!E19="","",'2'!E19)</f>
        <v>46249</v>
      </c>
      <c r="E40" s="111"/>
    </row>
    <row r="41" spans="1:5" hidden="1" x14ac:dyDescent="0.25">
      <c r="A41" s="92" t="s">
        <v>5</v>
      </c>
      <c r="B41" s="162"/>
      <c r="C41" s="4">
        <v>16</v>
      </c>
      <c r="D41" s="78">
        <f>IF('2'!E20="","",'2'!E20)</f>
        <v>46251</v>
      </c>
      <c r="E41" s="111"/>
    </row>
    <row r="42" spans="1:5" hidden="1" x14ac:dyDescent="0.25">
      <c r="A42" s="92" t="s">
        <v>5</v>
      </c>
      <c r="B42" s="162"/>
      <c r="C42" s="4">
        <v>17</v>
      </c>
      <c r="D42" s="78">
        <f>IF('2'!E21="","",'2'!E21)</f>
        <v>46249</v>
      </c>
      <c r="E42" s="111"/>
    </row>
    <row r="43" spans="1:5" hidden="1" x14ac:dyDescent="0.25">
      <c r="A43" s="92" t="s">
        <v>5</v>
      </c>
      <c r="B43" s="162"/>
      <c r="C43" s="4">
        <v>18</v>
      </c>
      <c r="D43" s="78">
        <f>IF('2'!E22="","",'2'!E22)</f>
        <v>46252</v>
      </c>
      <c r="E43" s="111"/>
    </row>
    <row r="44" spans="1:5" hidden="1" x14ac:dyDescent="0.25">
      <c r="A44" s="92" t="s">
        <v>5</v>
      </c>
      <c r="B44" s="162"/>
      <c r="C44" s="4">
        <v>19</v>
      </c>
      <c r="D44" s="78">
        <f>IF('2'!E23="","",'2'!E23)</f>
        <v>46248</v>
      </c>
      <c r="E44" s="111"/>
    </row>
    <row r="45" spans="1:5" hidden="1" x14ac:dyDescent="0.25">
      <c r="A45" s="92" t="s">
        <v>5</v>
      </c>
      <c r="B45" s="162"/>
      <c r="C45" s="4">
        <v>20</v>
      </c>
      <c r="D45" s="78">
        <f>IF('2'!E24="","",'2'!E24)</f>
        <v>46252</v>
      </c>
      <c r="E45" s="111"/>
    </row>
    <row r="46" spans="1:5" hidden="1" x14ac:dyDescent="0.25">
      <c r="A46" s="92" t="s">
        <v>5</v>
      </c>
      <c r="B46" s="162"/>
      <c r="C46" s="4">
        <v>21</v>
      </c>
      <c r="D46" s="78">
        <f>IF('2'!E25="","",'2'!E25)</f>
        <v>46249</v>
      </c>
      <c r="E46" s="111"/>
    </row>
    <row r="47" spans="1:5" hidden="1" x14ac:dyDescent="0.25">
      <c r="A47" s="92" t="s">
        <v>5</v>
      </c>
      <c r="B47" s="162"/>
      <c r="C47" s="4">
        <v>22</v>
      </c>
      <c r="D47" s="78">
        <f>IF('2'!E26="","",'2'!E26)</f>
        <v>46252</v>
      </c>
      <c r="E47" s="111"/>
    </row>
    <row r="48" spans="1:5" hidden="1" x14ac:dyDescent="0.25">
      <c r="A48" s="92" t="s">
        <v>5</v>
      </c>
      <c r="B48" s="162"/>
      <c r="C48" s="4">
        <v>23</v>
      </c>
      <c r="D48" s="78" t="str">
        <f>IF('2'!E27="","",'2'!E27)</f>
        <v/>
      </c>
      <c r="E48" s="111"/>
    </row>
    <row r="49" spans="1:5" hidden="1" x14ac:dyDescent="0.25">
      <c r="A49" s="92" t="s">
        <v>5</v>
      </c>
      <c r="B49" s="163"/>
      <c r="C49" s="4">
        <v>24</v>
      </c>
      <c r="D49" s="78">
        <f>IF('2'!E28="","",'2'!E28)</f>
        <v>46253</v>
      </c>
      <c r="E49" s="111"/>
    </row>
    <row r="50" spans="1:5" hidden="1" x14ac:dyDescent="0.25">
      <c r="A50" s="93" t="s">
        <v>85</v>
      </c>
      <c r="B50" s="161" t="s">
        <v>85</v>
      </c>
      <c r="C50" s="4">
        <v>1</v>
      </c>
      <c r="D50" s="78">
        <f>IF('3'!E5="","",'3'!E5)</f>
        <v>46248</v>
      </c>
      <c r="E50" s="111"/>
    </row>
    <row r="51" spans="1:5" hidden="1" x14ac:dyDescent="0.25">
      <c r="A51" s="93" t="s">
        <v>85</v>
      </c>
      <c r="B51" s="162"/>
      <c r="C51" s="4">
        <v>2</v>
      </c>
      <c r="D51" s="78">
        <f>IF('3'!E6="","",'3'!E6)</f>
        <v>46250</v>
      </c>
      <c r="E51" s="111"/>
    </row>
    <row r="52" spans="1:5" hidden="1" x14ac:dyDescent="0.25">
      <c r="A52" s="93" t="s">
        <v>85</v>
      </c>
      <c r="B52" s="162"/>
      <c r="C52" s="4">
        <v>3</v>
      </c>
      <c r="D52" s="78">
        <f>IF('3'!E7="","",'3'!E7)</f>
        <v>46246</v>
      </c>
      <c r="E52" s="111"/>
    </row>
    <row r="53" spans="1:5" hidden="1" x14ac:dyDescent="0.25">
      <c r="A53" s="93" t="s">
        <v>85</v>
      </c>
      <c r="B53" s="162"/>
      <c r="C53" s="4">
        <v>4</v>
      </c>
      <c r="D53" s="78">
        <f>IF('3'!E8="","",'3'!E8)</f>
        <v>46239</v>
      </c>
      <c r="E53" s="111"/>
    </row>
    <row r="54" spans="1:5" hidden="1" x14ac:dyDescent="0.25">
      <c r="A54" s="93" t="s">
        <v>85</v>
      </c>
      <c r="B54" s="162"/>
      <c r="C54" s="4">
        <v>5</v>
      </c>
      <c r="D54" s="78">
        <f>IF('3'!E9="","",'3'!E9)</f>
        <v>46247</v>
      </c>
      <c r="E54" s="111"/>
    </row>
    <row r="55" spans="1:5" hidden="1" x14ac:dyDescent="0.25">
      <c r="A55" s="93" t="s">
        <v>85</v>
      </c>
      <c r="B55" s="162"/>
      <c r="C55" s="4">
        <v>6</v>
      </c>
      <c r="D55" s="78">
        <f>IF('3'!E10="","",'3'!E10)</f>
        <v>46249</v>
      </c>
      <c r="E55" s="111"/>
    </row>
    <row r="56" spans="1:5" hidden="1" x14ac:dyDescent="0.25">
      <c r="A56" s="93" t="s">
        <v>85</v>
      </c>
      <c r="B56" s="162"/>
      <c r="C56" s="4">
        <v>7</v>
      </c>
      <c r="D56" s="78">
        <f>IF('3'!E11="","",'3'!E11)</f>
        <v>46244</v>
      </c>
      <c r="E56" s="111"/>
    </row>
    <row r="57" spans="1:5" hidden="1" x14ac:dyDescent="0.25">
      <c r="A57" s="93" t="s">
        <v>85</v>
      </c>
      <c r="B57" s="162"/>
      <c r="C57" s="4">
        <v>8</v>
      </c>
      <c r="D57" s="78">
        <f>IF('3'!E12="","",'3'!E12)</f>
        <v>46248</v>
      </c>
      <c r="E57" s="111"/>
    </row>
    <row r="58" spans="1:5" hidden="1" x14ac:dyDescent="0.25">
      <c r="A58" s="93" t="s">
        <v>85</v>
      </c>
      <c r="B58" s="162"/>
      <c r="C58" s="4">
        <v>9</v>
      </c>
      <c r="D58" s="78">
        <f>IF('3'!E13="","",'3'!E13)</f>
        <v>46241</v>
      </c>
      <c r="E58" s="111"/>
    </row>
    <row r="59" spans="1:5" hidden="1" x14ac:dyDescent="0.25">
      <c r="A59" s="93" t="s">
        <v>85</v>
      </c>
      <c r="B59" s="162"/>
      <c r="C59" s="4">
        <v>10</v>
      </c>
      <c r="D59" s="78">
        <f>IF('3'!E14="","",'3'!E14)</f>
        <v>46237</v>
      </c>
      <c r="E59" s="111"/>
    </row>
    <row r="60" spans="1:5" hidden="1" x14ac:dyDescent="0.25">
      <c r="A60" s="93" t="s">
        <v>85</v>
      </c>
      <c r="B60" s="162"/>
      <c r="C60" s="4">
        <v>11</v>
      </c>
      <c r="D60" s="78">
        <f>IF('3'!E15="","",'3'!E15)</f>
        <v>46240</v>
      </c>
      <c r="E60" s="111"/>
    </row>
    <row r="61" spans="1:5" hidden="1" x14ac:dyDescent="0.25">
      <c r="A61" s="93" t="s">
        <v>85</v>
      </c>
      <c r="B61" s="162"/>
      <c r="C61" s="4">
        <v>12</v>
      </c>
      <c r="D61" s="78">
        <f>IF('3'!E16="","",'3'!E16)</f>
        <v>46238</v>
      </c>
      <c r="E61" s="111"/>
    </row>
    <row r="62" spans="1:5" hidden="1" x14ac:dyDescent="0.25">
      <c r="A62" s="93" t="s">
        <v>85</v>
      </c>
      <c r="B62" s="162"/>
      <c r="C62" s="4">
        <v>13</v>
      </c>
      <c r="D62" s="78">
        <f>IF('3'!E17="","",'3'!E17)</f>
        <v>46239</v>
      </c>
      <c r="E62" s="111"/>
    </row>
    <row r="63" spans="1:5" hidden="1" x14ac:dyDescent="0.25">
      <c r="A63" s="93" t="s">
        <v>85</v>
      </c>
      <c r="B63" s="162"/>
      <c r="C63" s="4">
        <v>14</v>
      </c>
      <c r="D63" s="78">
        <f>IF('3'!E18="","",'3'!E18)</f>
        <v>46241</v>
      </c>
      <c r="E63" s="111"/>
    </row>
    <row r="64" spans="1:5" hidden="1" x14ac:dyDescent="0.25">
      <c r="A64" s="93" t="s">
        <v>85</v>
      </c>
      <c r="B64" s="162"/>
      <c r="C64" s="4">
        <v>15</v>
      </c>
      <c r="D64" s="78">
        <f>IF('3'!E19="","",'3'!E19)</f>
        <v>46240</v>
      </c>
      <c r="E64" s="111"/>
    </row>
    <row r="65" spans="1:5" hidden="1" x14ac:dyDescent="0.25">
      <c r="A65" s="93" t="s">
        <v>85</v>
      </c>
      <c r="B65" s="162"/>
      <c r="C65" s="4">
        <v>16</v>
      </c>
      <c r="D65" s="78">
        <f>IF('3'!E20="","",'3'!E20)</f>
        <v>46238</v>
      </c>
      <c r="E65" s="111"/>
    </row>
    <row r="66" spans="1:5" hidden="1" x14ac:dyDescent="0.25">
      <c r="A66" s="93" t="s">
        <v>85</v>
      </c>
      <c r="B66" s="162"/>
      <c r="C66" s="4">
        <v>17</v>
      </c>
      <c r="D66" s="78">
        <f>IF('3'!E21="","",'3'!E21)</f>
        <v>46244</v>
      </c>
      <c r="E66" s="111"/>
    </row>
    <row r="67" spans="1:5" hidden="1" x14ac:dyDescent="0.25">
      <c r="A67" s="93" t="s">
        <v>85</v>
      </c>
      <c r="B67" s="162"/>
      <c r="C67" s="4">
        <v>18</v>
      </c>
      <c r="D67" s="78">
        <f>IF('3'!E22="","",'3'!E22)</f>
        <v>46246</v>
      </c>
      <c r="E67" s="111"/>
    </row>
    <row r="68" spans="1:5" hidden="1" x14ac:dyDescent="0.25">
      <c r="A68" s="93" t="s">
        <v>85</v>
      </c>
      <c r="B68" s="162"/>
      <c r="C68" s="4">
        <v>19</v>
      </c>
      <c r="D68" s="78">
        <f>IF('3'!E23="","",'3'!E23)</f>
        <v>46243</v>
      </c>
      <c r="E68" s="111"/>
    </row>
    <row r="69" spans="1:5" hidden="1" x14ac:dyDescent="0.25">
      <c r="A69" s="93" t="s">
        <v>85</v>
      </c>
      <c r="B69" s="162"/>
      <c r="C69" s="4">
        <v>20</v>
      </c>
      <c r="D69" s="78">
        <f>IF('3'!E24="","",'3'!E24)</f>
        <v>46247</v>
      </c>
      <c r="E69" s="111"/>
    </row>
    <row r="70" spans="1:5" hidden="1" x14ac:dyDescent="0.25">
      <c r="A70" s="93" t="s">
        <v>85</v>
      </c>
      <c r="B70" s="162"/>
      <c r="C70" s="4">
        <v>21</v>
      </c>
      <c r="D70" s="78">
        <f>IF('3'!E25="","",'3'!E25)</f>
        <v>46242</v>
      </c>
      <c r="E70" s="111"/>
    </row>
    <row r="71" spans="1:5" hidden="1" x14ac:dyDescent="0.25">
      <c r="A71" s="93" t="s">
        <v>85</v>
      </c>
      <c r="B71" s="162"/>
      <c r="C71" s="4">
        <v>22</v>
      </c>
      <c r="D71" s="78">
        <f>IF('3'!E26="","",'3'!E26)</f>
        <v>46241</v>
      </c>
      <c r="E71" s="111"/>
    </row>
    <row r="72" spans="1:5" hidden="1" x14ac:dyDescent="0.25">
      <c r="A72" s="93" t="s">
        <v>85</v>
      </c>
      <c r="B72" s="162"/>
      <c r="C72" s="4">
        <v>23</v>
      </c>
      <c r="D72" s="78">
        <f>IF('3'!E27="","",'3'!E27)</f>
        <v>46245</v>
      </c>
      <c r="E72" s="111"/>
    </row>
    <row r="73" spans="1:5" hidden="1" x14ac:dyDescent="0.25">
      <c r="A73" s="93" t="s">
        <v>85</v>
      </c>
      <c r="B73" s="163"/>
      <c r="C73" s="4">
        <v>24</v>
      </c>
      <c r="D73" s="78">
        <f>IF('3'!E28="","",'3'!E28)</f>
        <v>46250</v>
      </c>
      <c r="E73" s="111"/>
    </row>
    <row r="74" spans="1:5" hidden="1" x14ac:dyDescent="0.25">
      <c r="A74" s="94" t="s">
        <v>22</v>
      </c>
      <c r="B74" s="161" t="s">
        <v>22</v>
      </c>
      <c r="C74" s="4">
        <v>1</v>
      </c>
      <c r="D74" s="78" t="str">
        <f>IF('4'!E5="","",'4'!E5)</f>
        <v/>
      </c>
      <c r="E74" s="111"/>
    </row>
    <row r="75" spans="1:5" hidden="1" x14ac:dyDescent="0.25">
      <c r="A75" s="94" t="s">
        <v>22</v>
      </c>
      <c r="B75" s="162"/>
      <c r="C75" s="4">
        <v>2</v>
      </c>
      <c r="D75" s="78" t="str">
        <f>IF('4'!E6="","",'4'!E6)</f>
        <v/>
      </c>
      <c r="E75" s="111"/>
    </row>
    <row r="76" spans="1:5" hidden="1" x14ac:dyDescent="0.25">
      <c r="A76" s="94" t="s">
        <v>22</v>
      </c>
      <c r="B76" s="162"/>
      <c r="C76" s="4">
        <v>3</v>
      </c>
      <c r="D76" s="78" t="str">
        <f>IF('4'!E7="","",'4'!E7)</f>
        <v/>
      </c>
      <c r="E76" s="111"/>
    </row>
    <row r="77" spans="1:5" hidden="1" x14ac:dyDescent="0.25">
      <c r="A77" s="94" t="s">
        <v>22</v>
      </c>
      <c r="B77" s="162"/>
      <c r="C77" s="4">
        <v>4</v>
      </c>
      <c r="D77" s="78" t="str">
        <f>IF('4'!E8="","",'4'!E8)</f>
        <v/>
      </c>
      <c r="E77" s="111"/>
    </row>
    <row r="78" spans="1:5" hidden="1" x14ac:dyDescent="0.25">
      <c r="A78" s="94" t="s">
        <v>22</v>
      </c>
      <c r="B78" s="162"/>
      <c r="C78" s="4">
        <v>5</v>
      </c>
      <c r="D78" s="78" t="str">
        <f>IF('4'!E9="","",'4'!E9)</f>
        <v/>
      </c>
      <c r="E78" s="111"/>
    </row>
    <row r="79" spans="1:5" hidden="1" x14ac:dyDescent="0.25">
      <c r="A79" s="94" t="s">
        <v>22</v>
      </c>
      <c r="B79" s="162"/>
      <c r="C79" s="4">
        <v>6</v>
      </c>
      <c r="D79" s="78" t="str">
        <f>IF('4'!E10="","",'4'!E10)</f>
        <v/>
      </c>
      <c r="E79" s="111"/>
    </row>
    <row r="80" spans="1:5" hidden="1" x14ac:dyDescent="0.25">
      <c r="A80" s="94" t="s">
        <v>22</v>
      </c>
      <c r="B80" s="162"/>
      <c r="C80" s="4">
        <v>7</v>
      </c>
      <c r="D80" s="78" t="str">
        <f>IF('4'!E11="","",'4'!E11)</f>
        <v/>
      </c>
      <c r="E80" s="111"/>
    </row>
    <row r="81" spans="1:5" hidden="1" x14ac:dyDescent="0.25">
      <c r="A81" s="94" t="s">
        <v>22</v>
      </c>
      <c r="B81" s="162"/>
      <c r="C81" s="4">
        <v>8</v>
      </c>
      <c r="D81" s="78" t="str">
        <f>IF('4'!E12="","",'4'!E12)</f>
        <v/>
      </c>
      <c r="E81" s="111"/>
    </row>
    <row r="82" spans="1:5" hidden="1" x14ac:dyDescent="0.25">
      <c r="A82" s="94" t="s">
        <v>22</v>
      </c>
      <c r="B82" s="162"/>
      <c r="C82" s="4">
        <v>9</v>
      </c>
      <c r="D82" s="78" t="str">
        <f>IF('4'!E13="","",'4'!E13)</f>
        <v/>
      </c>
      <c r="E82" s="111"/>
    </row>
    <row r="83" spans="1:5" hidden="1" x14ac:dyDescent="0.25">
      <c r="A83" s="94" t="s">
        <v>22</v>
      </c>
      <c r="B83" s="162"/>
      <c r="C83" s="4">
        <v>10</v>
      </c>
      <c r="D83" s="78" t="str">
        <f>IF('4'!E14="","",'4'!E14)</f>
        <v/>
      </c>
      <c r="E83" s="111"/>
    </row>
    <row r="84" spans="1:5" hidden="1" x14ac:dyDescent="0.25">
      <c r="A84" s="94" t="s">
        <v>22</v>
      </c>
      <c r="B84" s="162"/>
      <c r="C84" s="4">
        <v>11</v>
      </c>
      <c r="D84" s="78" t="str">
        <f>IF('4'!E15="","",'4'!E15)</f>
        <v/>
      </c>
      <c r="E84" s="111"/>
    </row>
    <row r="85" spans="1:5" hidden="1" x14ac:dyDescent="0.25">
      <c r="A85" s="94" t="s">
        <v>22</v>
      </c>
      <c r="B85" s="162"/>
      <c r="C85" s="4">
        <v>12</v>
      </c>
      <c r="D85" s="78" t="str">
        <f>IF('4'!E16="","",'4'!E16)</f>
        <v/>
      </c>
      <c r="E85" s="111"/>
    </row>
    <row r="86" spans="1:5" hidden="1" x14ac:dyDescent="0.25">
      <c r="A86" s="94" t="s">
        <v>22</v>
      </c>
      <c r="B86" s="162"/>
      <c r="C86" s="4">
        <v>13</v>
      </c>
      <c r="D86" s="78" t="str">
        <f>IF('4'!E17="","",'4'!E17)</f>
        <v/>
      </c>
      <c r="E86" s="111"/>
    </row>
    <row r="87" spans="1:5" hidden="1" x14ac:dyDescent="0.25">
      <c r="A87" s="94" t="s">
        <v>22</v>
      </c>
      <c r="B87" s="162"/>
      <c r="C87" s="4">
        <v>14</v>
      </c>
      <c r="D87" s="78" t="str">
        <f>IF('4'!E18="","",'4'!E18)</f>
        <v/>
      </c>
      <c r="E87" s="111"/>
    </row>
    <row r="88" spans="1:5" hidden="1" x14ac:dyDescent="0.25">
      <c r="A88" s="94" t="s">
        <v>22</v>
      </c>
      <c r="B88" s="162"/>
      <c r="C88" s="4">
        <v>15</v>
      </c>
      <c r="D88" s="78" t="str">
        <f>IF('4'!E19="","",'4'!E19)</f>
        <v/>
      </c>
      <c r="E88" s="111"/>
    </row>
    <row r="89" spans="1:5" hidden="1" x14ac:dyDescent="0.25">
      <c r="A89" s="94" t="s">
        <v>22</v>
      </c>
      <c r="B89" s="162"/>
      <c r="C89" s="4">
        <v>16</v>
      </c>
      <c r="D89" s="78" t="str">
        <f>IF('4'!E20="","",'4'!E20)</f>
        <v/>
      </c>
      <c r="E89" s="111"/>
    </row>
    <row r="90" spans="1:5" hidden="1" x14ac:dyDescent="0.25">
      <c r="A90" s="94" t="s">
        <v>22</v>
      </c>
      <c r="B90" s="162"/>
      <c r="C90" s="4">
        <v>17</v>
      </c>
      <c r="D90" s="78" t="str">
        <f>IF('4'!E21="","",'4'!E21)</f>
        <v/>
      </c>
      <c r="E90" s="111"/>
    </row>
    <row r="91" spans="1:5" hidden="1" x14ac:dyDescent="0.25">
      <c r="A91" s="94" t="s">
        <v>22</v>
      </c>
      <c r="B91" s="162"/>
      <c r="C91" s="4">
        <v>18</v>
      </c>
      <c r="D91" s="78" t="str">
        <f>IF('4'!E22="","",'4'!E22)</f>
        <v/>
      </c>
      <c r="E91" s="111"/>
    </row>
    <row r="92" spans="1:5" hidden="1" x14ac:dyDescent="0.25">
      <c r="A92" s="94" t="s">
        <v>22</v>
      </c>
      <c r="B92" s="162"/>
      <c r="C92" s="4">
        <v>19</v>
      </c>
      <c r="D92" s="78" t="str">
        <f>IF('4'!E23="","",'4'!E23)</f>
        <v/>
      </c>
      <c r="E92" s="111"/>
    </row>
    <row r="93" spans="1:5" hidden="1" x14ac:dyDescent="0.25">
      <c r="A93" s="94" t="s">
        <v>22</v>
      </c>
      <c r="B93" s="162"/>
      <c r="C93" s="4">
        <v>20</v>
      </c>
      <c r="D93" s="78" t="str">
        <f>IF('4'!E24="","",'4'!E24)</f>
        <v/>
      </c>
      <c r="E93" s="111"/>
    </row>
    <row r="94" spans="1:5" hidden="1" x14ac:dyDescent="0.25">
      <c r="A94" s="94" t="s">
        <v>22</v>
      </c>
      <c r="B94" s="162"/>
      <c r="C94" s="4">
        <v>21</v>
      </c>
      <c r="D94" s="78" t="str">
        <f>IF('4'!E25="","",'4'!E25)</f>
        <v/>
      </c>
      <c r="E94" s="111"/>
    </row>
    <row r="95" spans="1:5" hidden="1" x14ac:dyDescent="0.25">
      <c r="A95" s="94" t="s">
        <v>22</v>
      </c>
      <c r="B95" s="162"/>
      <c r="C95" s="4">
        <v>22</v>
      </c>
      <c r="D95" s="78" t="str">
        <f>IF('4'!E26="","",'4'!E26)</f>
        <v/>
      </c>
      <c r="E95" s="111"/>
    </row>
    <row r="96" spans="1:5" hidden="1" x14ac:dyDescent="0.25">
      <c r="A96" s="94" t="s">
        <v>22</v>
      </c>
      <c r="B96" s="162"/>
      <c r="C96" s="4">
        <v>23</v>
      </c>
      <c r="D96" s="78" t="str">
        <f>IF('4'!E27="","",'4'!E27)</f>
        <v/>
      </c>
      <c r="E96" s="111"/>
    </row>
    <row r="97" spans="1:5" hidden="1" x14ac:dyDescent="0.25">
      <c r="A97" s="94" t="s">
        <v>22</v>
      </c>
      <c r="B97" s="163"/>
      <c r="C97" s="4">
        <v>24</v>
      </c>
      <c r="D97" s="78" t="str">
        <f>IF('4'!E28="","",'4'!E28)</f>
        <v/>
      </c>
      <c r="E97" s="111"/>
    </row>
    <row r="98" spans="1:5" hidden="1" x14ac:dyDescent="0.25">
      <c r="A98" s="3" t="s">
        <v>86</v>
      </c>
      <c r="B98" s="161" t="s">
        <v>86</v>
      </c>
      <c r="C98" s="4">
        <v>1</v>
      </c>
      <c r="D98" s="78">
        <f>IF('5'!E5="","",'5'!E5)</f>
        <v>46253</v>
      </c>
      <c r="E98" s="111"/>
    </row>
    <row r="99" spans="1:5" hidden="1" x14ac:dyDescent="0.25">
      <c r="A99" s="3" t="s">
        <v>86</v>
      </c>
      <c r="B99" s="162"/>
      <c r="C99" s="4">
        <v>2</v>
      </c>
      <c r="D99" s="78" t="str">
        <f>IF('5'!E6="","",'5'!E6)</f>
        <v/>
      </c>
      <c r="E99" s="111"/>
    </row>
    <row r="100" spans="1:5" hidden="1" x14ac:dyDescent="0.25">
      <c r="A100" s="3" t="s">
        <v>86</v>
      </c>
      <c r="B100" s="162"/>
      <c r="C100" s="4">
        <v>3</v>
      </c>
      <c r="D100" s="78" t="str">
        <f>IF('5'!E7="","",'5'!E7)</f>
        <v/>
      </c>
      <c r="E100" s="111"/>
    </row>
    <row r="101" spans="1:5" hidden="1" x14ac:dyDescent="0.25">
      <c r="A101" s="3" t="s">
        <v>86</v>
      </c>
      <c r="B101" s="162"/>
      <c r="C101" s="4">
        <v>4</v>
      </c>
      <c r="D101" s="78" t="str">
        <f>IF('5'!E8="","",'5'!E8)</f>
        <v/>
      </c>
      <c r="E101" s="111"/>
    </row>
    <row r="102" spans="1:5" hidden="1" x14ac:dyDescent="0.25">
      <c r="A102" s="3" t="s">
        <v>86</v>
      </c>
      <c r="B102" s="162"/>
      <c r="C102" s="4">
        <v>5</v>
      </c>
      <c r="D102" s="78">
        <f>IF('5'!E9="","",'5'!E9)</f>
        <v>46252</v>
      </c>
      <c r="E102" s="111"/>
    </row>
    <row r="103" spans="1:5" hidden="1" x14ac:dyDescent="0.25">
      <c r="A103" s="3" t="s">
        <v>86</v>
      </c>
      <c r="B103" s="162"/>
      <c r="C103" s="4">
        <v>6</v>
      </c>
      <c r="D103" s="78" t="str">
        <f>IF('5'!E10="","",'5'!E10)</f>
        <v/>
      </c>
      <c r="E103" s="111"/>
    </row>
    <row r="104" spans="1:5" hidden="1" x14ac:dyDescent="0.25">
      <c r="A104" s="3" t="s">
        <v>86</v>
      </c>
      <c r="B104" s="162"/>
      <c r="C104" s="4">
        <v>7</v>
      </c>
      <c r="D104" s="78" t="str">
        <f>IF('5'!E11="","",'5'!E11)</f>
        <v/>
      </c>
      <c r="E104" s="111"/>
    </row>
    <row r="105" spans="1:5" hidden="1" x14ac:dyDescent="0.25">
      <c r="A105" s="3" t="s">
        <v>86</v>
      </c>
      <c r="B105" s="162"/>
      <c r="C105" s="4">
        <v>8</v>
      </c>
      <c r="D105" s="78" t="str">
        <f>IF('5'!E12="","",'5'!E12)</f>
        <v/>
      </c>
      <c r="E105" s="111"/>
    </row>
    <row r="106" spans="1:5" hidden="1" x14ac:dyDescent="0.25">
      <c r="A106" s="3" t="s">
        <v>86</v>
      </c>
      <c r="B106" s="162"/>
      <c r="C106" s="4">
        <v>9</v>
      </c>
      <c r="D106" s="78" t="str">
        <f>IF('5'!E13="","",'5'!E13)</f>
        <v/>
      </c>
      <c r="E106" s="111"/>
    </row>
    <row r="107" spans="1:5" hidden="1" x14ac:dyDescent="0.25">
      <c r="A107" s="3" t="s">
        <v>86</v>
      </c>
      <c r="B107" s="162"/>
      <c r="C107" s="4">
        <v>10</v>
      </c>
      <c r="D107" s="78" t="str">
        <f>IF('5'!E14="","",'5'!E14)</f>
        <v/>
      </c>
      <c r="E107" s="111"/>
    </row>
    <row r="108" spans="1:5" hidden="1" x14ac:dyDescent="0.25">
      <c r="A108" s="3" t="s">
        <v>86</v>
      </c>
      <c r="B108" s="162"/>
      <c r="C108" s="4">
        <v>11</v>
      </c>
      <c r="D108" s="78" t="str">
        <f>IF('5'!E15="","",'5'!E15)</f>
        <v/>
      </c>
      <c r="E108" s="111"/>
    </row>
    <row r="109" spans="1:5" hidden="1" x14ac:dyDescent="0.25">
      <c r="A109" s="3" t="s">
        <v>86</v>
      </c>
      <c r="B109" s="162"/>
      <c r="C109" s="4">
        <v>12</v>
      </c>
      <c r="D109" s="78" t="str">
        <f>IF('5'!E16="","",'5'!E16)</f>
        <v/>
      </c>
      <c r="E109" s="111"/>
    </row>
    <row r="110" spans="1:5" hidden="1" x14ac:dyDescent="0.25">
      <c r="A110" s="3" t="s">
        <v>86</v>
      </c>
      <c r="B110" s="162"/>
      <c r="C110" s="4">
        <v>13</v>
      </c>
      <c r="D110" s="78" t="str">
        <f>IF('5'!E17="","",'5'!E17)</f>
        <v/>
      </c>
      <c r="E110" s="111"/>
    </row>
    <row r="111" spans="1:5" hidden="1" x14ac:dyDescent="0.25">
      <c r="A111" s="3" t="s">
        <v>86</v>
      </c>
      <c r="B111" s="162"/>
      <c r="C111" s="4">
        <v>14</v>
      </c>
      <c r="D111" s="78" t="str">
        <f>IF('5'!E18="","",'5'!E18)</f>
        <v/>
      </c>
      <c r="E111" s="111"/>
    </row>
    <row r="112" spans="1:5" hidden="1" x14ac:dyDescent="0.25">
      <c r="A112" s="3" t="s">
        <v>86</v>
      </c>
      <c r="B112" s="162"/>
      <c r="C112" s="4">
        <v>15</v>
      </c>
      <c r="D112" s="78" t="str">
        <f>IF('5'!E19="","",'5'!E19)</f>
        <v/>
      </c>
      <c r="E112" s="111"/>
    </row>
    <row r="113" spans="1:5" hidden="1" x14ac:dyDescent="0.25">
      <c r="A113" s="3" t="s">
        <v>86</v>
      </c>
      <c r="B113" s="162"/>
      <c r="C113" s="4">
        <v>16</v>
      </c>
      <c r="D113" s="78" t="str">
        <f>IF('5'!E20="","",'5'!E20)</f>
        <v/>
      </c>
      <c r="E113" s="111"/>
    </row>
    <row r="114" spans="1:5" hidden="1" x14ac:dyDescent="0.25">
      <c r="A114" s="3" t="s">
        <v>86</v>
      </c>
      <c r="B114" s="162"/>
      <c r="C114" s="4">
        <v>17</v>
      </c>
      <c r="D114" s="78">
        <f>IF('5'!E21="","",'5'!E21)</f>
        <v>46251</v>
      </c>
      <c r="E114" s="111"/>
    </row>
    <row r="115" spans="1:5" hidden="1" x14ac:dyDescent="0.25">
      <c r="A115" s="3" t="s">
        <v>86</v>
      </c>
      <c r="B115" s="162"/>
      <c r="C115" s="4">
        <v>18</v>
      </c>
      <c r="D115" s="78" t="str">
        <f>IF('5'!E22="","",'5'!E22)</f>
        <v/>
      </c>
      <c r="E115" s="111"/>
    </row>
    <row r="116" spans="1:5" hidden="1" x14ac:dyDescent="0.25">
      <c r="A116" s="3" t="s">
        <v>86</v>
      </c>
      <c r="B116" s="162"/>
      <c r="C116" s="4">
        <v>19</v>
      </c>
      <c r="D116" s="78">
        <f>IF('5'!E23="","",'5'!E23)</f>
        <v>46250</v>
      </c>
      <c r="E116" s="111"/>
    </row>
    <row r="117" spans="1:5" hidden="1" x14ac:dyDescent="0.25">
      <c r="A117" s="3" t="s">
        <v>86</v>
      </c>
      <c r="B117" s="162"/>
      <c r="C117" s="4">
        <v>20</v>
      </c>
      <c r="D117" s="78" t="str">
        <f>IF('5'!E24="","",'5'!E24)</f>
        <v/>
      </c>
      <c r="E117" s="111"/>
    </row>
    <row r="118" spans="1:5" hidden="1" x14ac:dyDescent="0.25">
      <c r="A118" s="3" t="s">
        <v>86</v>
      </c>
      <c r="B118" s="162"/>
      <c r="C118" s="4">
        <v>21</v>
      </c>
      <c r="D118" s="78">
        <f>IF('5'!E25="","",'5'!E25)</f>
        <v>46249</v>
      </c>
      <c r="E118" s="111"/>
    </row>
    <row r="119" spans="1:5" hidden="1" x14ac:dyDescent="0.25">
      <c r="A119" s="3" t="s">
        <v>86</v>
      </c>
      <c r="B119" s="162"/>
      <c r="C119" s="4">
        <v>22</v>
      </c>
      <c r="D119" s="78" t="str">
        <f>IF('5'!E26="","",'5'!E26)</f>
        <v/>
      </c>
      <c r="E119" s="111"/>
    </row>
    <row r="120" spans="1:5" hidden="1" x14ac:dyDescent="0.25">
      <c r="A120" s="3" t="s">
        <v>86</v>
      </c>
      <c r="B120" s="162"/>
      <c r="C120" s="4">
        <v>23</v>
      </c>
      <c r="D120" s="78">
        <f>IF('5'!E27="","",'5'!E27)</f>
        <v>46252</v>
      </c>
      <c r="E120" s="111"/>
    </row>
    <row r="121" spans="1:5" hidden="1" x14ac:dyDescent="0.25">
      <c r="A121" s="3" t="s">
        <v>86</v>
      </c>
      <c r="B121" s="163"/>
      <c r="C121" s="4">
        <v>24</v>
      </c>
      <c r="D121" s="78" t="str">
        <f>IF('5'!E28="","",'5'!E28)</f>
        <v/>
      </c>
      <c r="E121" s="111"/>
    </row>
    <row r="122" spans="1:5" hidden="1" x14ac:dyDescent="0.25">
      <c r="A122" s="95" t="s">
        <v>6</v>
      </c>
      <c r="B122" s="161" t="s">
        <v>6</v>
      </c>
      <c r="C122" s="4">
        <v>1</v>
      </c>
      <c r="D122" s="78" t="str">
        <f>IF('6'!E5="","",'6'!E5)</f>
        <v/>
      </c>
      <c r="E122" s="111"/>
    </row>
    <row r="123" spans="1:5" hidden="1" x14ac:dyDescent="0.25">
      <c r="A123" s="95" t="s">
        <v>6</v>
      </c>
      <c r="B123" s="162"/>
      <c r="C123" s="4">
        <v>2</v>
      </c>
      <c r="D123" s="78" t="str">
        <f>IF('6'!E6="","",'6'!E6)</f>
        <v/>
      </c>
      <c r="E123" s="111"/>
    </row>
    <row r="124" spans="1:5" hidden="1" x14ac:dyDescent="0.25">
      <c r="A124" s="95" t="s">
        <v>6</v>
      </c>
      <c r="B124" s="162"/>
      <c r="C124" s="4">
        <v>3</v>
      </c>
      <c r="D124" s="78" t="str">
        <f>IF('6'!E7="","",'6'!E7)</f>
        <v/>
      </c>
      <c r="E124" s="111"/>
    </row>
    <row r="125" spans="1:5" hidden="1" x14ac:dyDescent="0.25">
      <c r="A125" s="95" t="s">
        <v>6</v>
      </c>
      <c r="B125" s="162"/>
      <c r="C125" s="4">
        <v>4</v>
      </c>
      <c r="D125" s="78" t="str">
        <f>IF('6'!E8="","",'6'!E8)</f>
        <v/>
      </c>
      <c r="E125" s="111"/>
    </row>
    <row r="126" spans="1:5" hidden="1" x14ac:dyDescent="0.25">
      <c r="A126" s="95" t="s">
        <v>6</v>
      </c>
      <c r="B126" s="162"/>
      <c r="C126" s="4">
        <v>5</v>
      </c>
      <c r="D126" s="78" t="str">
        <f>IF('6'!E9="","",'6'!E9)</f>
        <v/>
      </c>
      <c r="E126" s="111"/>
    </row>
    <row r="127" spans="1:5" hidden="1" x14ac:dyDescent="0.25">
      <c r="A127" s="95" t="s">
        <v>6</v>
      </c>
      <c r="B127" s="162"/>
      <c r="C127" s="4">
        <v>6</v>
      </c>
      <c r="D127" s="78" t="str">
        <f>IF('6'!E10="","",'6'!E10)</f>
        <v/>
      </c>
      <c r="E127" s="111"/>
    </row>
    <row r="128" spans="1:5" hidden="1" x14ac:dyDescent="0.25">
      <c r="A128" s="95" t="s">
        <v>6</v>
      </c>
      <c r="B128" s="162"/>
      <c r="C128" s="4">
        <v>7</v>
      </c>
      <c r="D128" s="78" t="str">
        <f>IF('6'!E11="","",'6'!E11)</f>
        <v/>
      </c>
      <c r="E128" s="111"/>
    </row>
    <row r="129" spans="1:5" hidden="1" x14ac:dyDescent="0.25">
      <c r="A129" s="95" t="s">
        <v>6</v>
      </c>
      <c r="B129" s="162"/>
      <c r="C129" s="4">
        <v>8</v>
      </c>
      <c r="D129" s="78" t="str">
        <f>IF('6'!E12="","",'6'!E12)</f>
        <v/>
      </c>
      <c r="E129" s="111"/>
    </row>
    <row r="130" spans="1:5" hidden="1" x14ac:dyDescent="0.25">
      <c r="A130" s="95" t="s">
        <v>6</v>
      </c>
      <c r="B130" s="162"/>
      <c r="C130" s="4">
        <v>9</v>
      </c>
      <c r="D130" s="78" t="str">
        <f>IF('6'!E13="","",'6'!E13)</f>
        <v/>
      </c>
      <c r="E130" s="111"/>
    </row>
    <row r="131" spans="1:5" hidden="1" x14ac:dyDescent="0.25">
      <c r="A131" s="95" t="s">
        <v>6</v>
      </c>
      <c r="B131" s="162"/>
      <c r="C131" s="4">
        <v>10</v>
      </c>
      <c r="D131" s="78" t="str">
        <f>IF('6'!E14="","",'6'!E14)</f>
        <v/>
      </c>
      <c r="E131" s="111"/>
    </row>
    <row r="132" spans="1:5" hidden="1" x14ac:dyDescent="0.25">
      <c r="A132" s="95" t="s">
        <v>6</v>
      </c>
      <c r="B132" s="162"/>
      <c r="C132" s="4">
        <v>11</v>
      </c>
      <c r="D132" s="78" t="str">
        <f>IF('6'!E15="","",'6'!E15)</f>
        <v/>
      </c>
      <c r="E132" s="111"/>
    </row>
    <row r="133" spans="1:5" hidden="1" x14ac:dyDescent="0.25">
      <c r="A133" s="95" t="s">
        <v>6</v>
      </c>
      <c r="B133" s="162"/>
      <c r="C133" s="4">
        <v>12</v>
      </c>
      <c r="D133" s="78" t="str">
        <f>IF('6'!E16="","",'6'!E16)</f>
        <v/>
      </c>
      <c r="E133" s="111"/>
    </row>
    <row r="134" spans="1:5" hidden="1" x14ac:dyDescent="0.25">
      <c r="A134" s="95" t="s">
        <v>6</v>
      </c>
      <c r="B134" s="162"/>
      <c r="C134" s="4">
        <v>13</v>
      </c>
      <c r="D134" s="78" t="str">
        <f>IF('6'!E17="","",'6'!E17)</f>
        <v/>
      </c>
      <c r="E134" s="111"/>
    </row>
    <row r="135" spans="1:5" hidden="1" x14ac:dyDescent="0.25">
      <c r="A135" s="95" t="s">
        <v>6</v>
      </c>
      <c r="B135" s="162"/>
      <c r="C135" s="4">
        <v>14</v>
      </c>
      <c r="D135" s="78" t="str">
        <f>IF('6'!E18="","",'6'!E18)</f>
        <v/>
      </c>
      <c r="E135" s="111"/>
    </row>
    <row r="136" spans="1:5" hidden="1" x14ac:dyDescent="0.25">
      <c r="A136" s="95" t="s">
        <v>6</v>
      </c>
      <c r="B136" s="162"/>
      <c r="C136" s="4">
        <v>15</v>
      </c>
      <c r="D136" s="78" t="str">
        <f>IF('6'!E19="","",'6'!E19)</f>
        <v/>
      </c>
      <c r="E136" s="111"/>
    </row>
    <row r="137" spans="1:5" hidden="1" x14ac:dyDescent="0.25">
      <c r="A137" s="95" t="s">
        <v>6</v>
      </c>
      <c r="B137" s="162"/>
      <c r="C137" s="4">
        <v>16</v>
      </c>
      <c r="D137" s="78" t="str">
        <f>IF('6'!E20="","",'6'!E20)</f>
        <v/>
      </c>
      <c r="E137" s="111"/>
    </row>
    <row r="138" spans="1:5" hidden="1" x14ac:dyDescent="0.25">
      <c r="A138" s="95" t="s">
        <v>6</v>
      </c>
      <c r="B138" s="162"/>
      <c r="C138" s="4">
        <v>17</v>
      </c>
      <c r="D138" s="78" t="str">
        <f>IF('6'!E21="","",'6'!E21)</f>
        <v/>
      </c>
      <c r="E138" s="111"/>
    </row>
    <row r="139" spans="1:5" hidden="1" x14ac:dyDescent="0.25">
      <c r="A139" s="95" t="s">
        <v>6</v>
      </c>
      <c r="B139" s="162"/>
      <c r="C139" s="4">
        <v>18</v>
      </c>
      <c r="D139" s="78" t="str">
        <f>IF('6'!E22="","",'6'!E22)</f>
        <v/>
      </c>
      <c r="E139" s="111"/>
    </row>
    <row r="140" spans="1:5" hidden="1" x14ac:dyDescent="0.25">
      <c r="A140" s="95" t="s">
        <v>6</v>
      </c>
      <c r="B140" s="162"/>
      <c r="C140" s="4">
        <v>19</v>
      </c>
      <c r="D140" s="78" t="str">
        <f>IF('6'!E23="","",'6'!E23)</f>
        <v/>
      </c>
      <c r="E140" s="111"/>
    </row>
    <row r="141" spans="1:5" hidden="1" x14ac:dyDescent="0.25">
      <c r="A141" s="95" t="s">
        <v>6</v>
      </c>
      <c r="B141" s="162"/>
      <c r="C141" s="4">
        <v>20</v>
      </c>
      <c r="D141" s="78" t="str">
        <f>IF('6'!E24="","",'6'!E24)</f>
        <v/>
      </c>
      <c r="E141" s="111"/>
    </row>
    <row r="142" spans="1:5" hidden="1" x14ac:dyDescent="0.25">
      <c r="A142" s="95" t="s">
        <v>6</v>
      </c>
      <c r="B142" s="162"/>
      <c r="C142" s="4">
        <v>21</v>
      </c>
      <c r="D142" s="78" t="str">
        <f>IF('6'!E25="","",'6'!E25)</f>
        <v/>
      </c>
      <c r="E142" s="111"/>
    </row>
    <row r="143" spans="1:5" hidden="1" x14ac:dyDescent="0.25">
      <c r="A143" s="95" t="s">
        <v>6</v>
      </c>
      <c r="B143" s="162"/>
      <c r="C143" s="4">
        <v>22</v>
      </c>
      <c r="D143" s="78" t="str">
        <f>IF('6'!E26="","",'6'!E26)</f>
        <v/>
      </c>
      <c r="E143" s="111"/>
    </row>
    <row r="144" spans="1:5" hidden="1" x14ac:dyDescent="0.25">
      <c r="A144" s="95" t="s">
        <v>6</v>
      </c>
      <c r="B144" s="162"/>
      <c r="C144" s="4">
        <v>23</v>
      </c>
      <c r="D144" s="78" t="str">
        <f>IF('6'!E27="","",'6'!E27)</f>
        <v/>
      </c>
      <c r="E144" s="111"/>
    </row>
    <row r="145" spans="1:5" hidden="1" x14ac:dyDescent="0.25">
      <c r="A145" s="95" t="s">
        <v>6</v>
      </c>
      <c r="B145" s="163"/>
      <c r="C145" s="4">
        <v>24</v>
      </c>
      <c r="D145" s="78" t="str">
        <f>IF('6'!E28="","",'6'!E28)</f>
        <v/>
      </c>
      <c r="E145" s="111"/>
    </row>
    <row r="146" spans="1:5" hidden="1" x14ac:dyDescent="0.25">
      <c r="A146" s="96" t="s">
        <v>87</v>
      </c>
      <c r="B146" s="161" t="s">
        <v>87</v>
      </c>
      <c r="C146" s="4">
        <v>1</v>
      </c>
      <c r="D146" s="78">
        <f>IF('7'!E5="","",'7'!E5)</f>
        <v>46250</v>
      </c>
      <c r="E146" s="111"/>
    </row>
    <row r="147" spans="1:5" hidden="1" x14ac:dyDescent="0.25">
      <c r="A147" s="96" t="s">
        <v>87</v>
      </c>
      <c r="B147" s="162"/>
      <c r="C147" s="4">
        <v>2</v>
      </c>
      <c r="D147" s="78" t="str">
        <f>IF('7'!E6="","",'7'!E6)</f>
        <v/>
      </c>
      <c r="E147" s="111"/>
    </row>
    <row r="148" spans="1:5" hidden="1" x14ac:dyDescent="0.25">
      <c r="A148" s="96" t="s">
        <v>87</v>
      </c>
      <c r="B148" s="162"/>
      <c r="C148" s="4">
        <v>3</v>
      </c>
      <c r="D148" s="78">
        <f>IF('7'!E7="","",'7'!E7)</f>
        <v>46245</v>
      </c>
      <c r="E148" s="111"/>
    </row>
    <row r="149" spans="1:5" hidden="1" x14ac:dyDescent="0.25">
      <c r="A149" s="96" t="s">
        <v>87</v>
      </c>
      <c r="B149" s="162"/>
      <c r="C149" s="4">
        <v>4</v>
      </c>
      <c r="D149" s="78">
        <f>IF('7'!E8="","",'7'!E8)</f>
        <v>46247</v>
      </c>
      <c r="E149" s="111"/>
    </row>
    <row r="150" spans="1:5" hidden="1" x14ac:dyDescent="0.25">
      <c r="A150" s="96" t="s">
        <v>87</v>
      </c>
      <c r="B150" s="162"/>
      <c r="C150" s="4">
        <v>5</v>
      </c>
      <c r="D150" s="78">
        <f>IF('7'!E9="","",'7'!E9)</f>
        <v>46245</v>
      </c>
      <c r="E150" s="111"/>
    </row>
    <row r="151" spans="1:5" hidden="1" x14ac:dyDescent="0.25">
      <c r="A151" s="96" t="s">
        <v>87</v>
      </c>
      <c r="B151" s="162"/>
      <c r="C151" s="4">
        <v>6</v>
      </c>
      <c r="D151" s="78">
        <f>IF('7'!E10="","",'7'!E10)</f>
        <v>46247</v>
      </c>
      <c r="E151" s="111"/>
    </row>
    <row r="152" spans="1:5" hidden="1" x14ac:dyDescent="0.25">
      <c r="A152" s="96" t="s">
        <v>87</v>
      </c>
      <c r="B152" s="162"/>
      <c r="C152" s="4">
        <v>7</v>
      </c>
      <c r="D152" s="78">
        <f>IF('7'!E11="","",'7'!E11)</f>
        <v>46245</v>
      </c>
      <c r="E152" s="111"/>
    </row>
    <row r="153" spans="1:5" hidden="1" x14ac:dyDescent="0.25">
      <c r="A153" s="96" t="s">
        <v>87</v>
      </c>
      <c r="B153" s="162"/>
      <c r="C153" s="4">
        <v>8</v>
      </c>
      <c r="D153" s="78">
        <f>IF('7'!E12="","",'7'!E12)</f>
        <v>46247</v>
      </c>
      <c r="E153" s="111"/>
    </row>
    <row r="154" spans="1:5" hidden="1" x14ac:dyDescent="0.25">
      <c r="A154" s="96" t="s">
        <v>87</v>
      </c>
      <c r="B154" s="162"/>
      <c r="C154" s="4">
        <v>9</v>
      </c>
      <c r="D154" s="78">
        <f>IF('7'!E13="","",'7'!E13)</f>
        <v>46244</v>
      </c>
      <c r="E154" s="111"/>
    </row>
    <row r="155" spans="1:5" hidden="1" x14ac:dyDescent="0.25">
      <c r="A155" s="96" t="s">
        <v>87</v>
      </c>
      <c r="B155" s="162"/>
      <c r="C155" s="4">
        <v>10</v>
      </c>
      <c r="D155" s="78">
        <f>IF('7'!E14="","",'7'!E14)</f>
        <v>46250</v>
      </c>
      <c r="E155" s="111"/>
    </row>
    <row r="156" spans="1:5" hidden="1" x14ac:dyDescent="0.25">
      <c r="A156" s="96" t="s">
        <v>87</v>
      </c>
      <c r="B156" s="162"/>
      <c r="C156" s="4">
        <v>11</v>
      </c>
      <c r="D156" s="78">
        <f>IF('7'!E15="","",'7'!E15)</f>
        <v>46244</v>
      </c>
      <c r="E156" s="111"/>
    </row>
    <row r="157" spans="1:5" hidden="1" x14ac:dyDescent="0.25">
      <c r="A157" s="96" t="s">
        <v>87</v>
      </c>
      <c r="B157" s="162"/>
      <c r="C157" s="4">
        <v>12</v>
      </c>
      <c r="D157" s="78">
        <f>IF('7'!E16="","",'7'!E16)</f>
        <v>46250</v>
      </c>
      <c r="E157" s="111"/>
    </row>
    <row r="158" spans="1:5" hidden="1" x14ac:dyDescent="0.25">
      <c r="A158" s="96" t="s">
        <v>87</v>
      </c>
      <c r="B158" s="162"/>
      <c r="C158" s="4">
        <v>13</v>
      </c>
      <c r="D158" s="78">
        <f>IF('7'!E17="","",'7'!E17)</f>
        <v>46243</v>
      </c>
      <c r="E158" s="111"/>
    </row>
    <row r="159" spans="1:5" hidden="1" x14ac:dyDescent="0.25">
      <c r="A159" s="96" t="s">
        <v>87</v>
      </c>
      <c r="B159" s="162"/>
      <c r="C159" s="4">
        <v>14</v>
      </c>
      <c r="D159" s="78" t="str">
        <f>IF('7'!E18="","",'7'!E18)</f>
        <v/>
      </c>
      <c r="E159" s="111"/>
    </row>
    <row r="160" spans="1:5" hidden="1" x14ac:dyDescent="0.25">
      <c r="A160" s="96" t="s">
        <v>87</v>
      </c>
      <c r="B160" s="162"/>
      <c r="C160" s="4">
        <v>15</v>
      </c>
      <c r="D160" s="78">
        <f>IF('7'!E19="","",'7'!E19)</f>
        <v>46246</v>
      </c>
      <c r="E160" s="111"/>
    </row>
    <row r="161" spans="1:5" hidden="1" x14ac:dyDescent="0.25">
      <c r="A161" s="96" t="s">
        <v>87</v>
      </c>
      <c r="B161" s="162"/>
      <c r="C161" s="4">
        <v>16</v>
      </c>
      <c r="D161" s="78">
        <f>IF('7'!E20="","",'7'!E20)</f>
        <v>46249</v>
      </c>
      <c r="E161" s="111"/>
    </row>
    <row r="162" spans="1:5" hidden="1" x14ac:dyDescent="0.25">
      <c r="A162" s="96" t="s">
        <v>87</v>
      </c>
      <c r="B162" s="162"/>
      <c r="C162" s="4">
        <v>17</v>
      </c>
      <c r="D162" s="78">
        <f>IF('7'!E21="","",'7'!E21)</f>
        <v>46246</v>
      </c>
      <c r="E162" s="111"/>
    </row>
    <row r="163" spans="1:5" hidden="1" x14ac:dyDescent="0.25">
      <c r="A163" s="96" t="s">
        <v>87</v>
      </c>
      <c r="B163" s="162"/>
      <c r="C163" s="4">
        <v>18</v>
      </c>
      <c r="D163" s="78">
        <f>IF('7'!E22="","",'7'!E22)</f>
        <v>46249</v>
      </c>
      <c r="E163" s="111"/>
    </row>
    <row r="164" spans="1:5" hidden="1" x14ac:dyDescent="0.25">
      <c r="A164" s="96" t="s">
        <v>87</v>
      </c>
      <c r="B164" s="162"/>
      <c r="C164" s="4">
        <v>19</v>
      </c>
      <c r="D164" s="78">
        <f>IF('7'!E23="","",'7'!E23)</f>
        <v>46246</v>
      </c>
      <c r="E164" s="111"/>
    </row>
    <row r="165" spans="1:5" hidden="1" x14ac:dyDescent="0.25">
      <c r="A165" s="96" t="s">
        <v>87</v>
      </c>
      <c r="B165" s="162"/>
      <c r="C165" s="4">
        <v>20</v>
      </c>
      <c r="D165" s="78">
        <f>IF('7'!E24="","",'7'!E24)</f>
        <v>46251</v>
      </c>
      <c r="E165" s="111"/>
    </row>
    <row r="166" spans="1:5" hidden="1" x14ac:dyDescent="0.25">
      <c r="A166" s="96" t="s">
        <v>87</v>
      </c>
      <c r="B166" s="162"/>
      <c r="C166" s="4">
        <v>21</v>
      </c>
      <c r="D166" s="78">
        <f>IF('7'!E25="","",'7'!E25)</f>
        <v>46248</v>
      </c>
      <c r="E166" s="111"/>
    </row>
    <row r="167" spans="1:5" hidden="1" x14ac:dyDescent="0.25">
      <c r="A167" s="96" t="s">
        <v>87</v>
      </c>
      <c r="B167" s="162"/>
      <c r="C167" s="4">
        <v>22</v>
      </c>
      <c r="D167" s="78">
        <f>IF('7'!E26="","",'7'!E26)</f>
        <v>46250</v>
      </c>
      <c r="E167" s="111"/>
    </row>
    <row r="168" spans="1:5" hidden="1" x14ac:dyDescent="0.25">
      <c r="A168" s="96" t="s">
        <v>87</v>
      </c>
      <c r="B168" s="162"/>
      <c r="C168" s="4">
        <v>23</v>
      </c>
      <c r="D168" s="78">
        <f>IF('7'!E27="","",'7'!E27)</f>
        <v>46249</v>
      </c>
      <c r="E168" s="111"/>
    </row>
    <row r="169" spans="1:5" hidden="1" x14ac:dyDescent="0.25">
      <c r="A169" s="96" t="s">
        <v>87</v>
      </c>
      <c r="B169" s="163"/>
      <c r="C169" s="4">
        <v>24</v>
      </c>
      <c r="D169" s="78" t="str">
        <f>IF('7'!E28="","",'7'!E28)</f>
        <v/>
      </c>
      <c r="E169" s="111"/>
    </row>
    <row r="170" spans="1:5" hidden="1" x14ac:dyDescent="0.25">
      <c r="A170" s="97" t="s">
        <v>23</v>
      </c>
      <c r="B170" s="161" t="s">
        <v>23</v>
      </c>
      <c r="C170" s="4">
        <v>1</v>
      </c>
      <c r="D170" s="78" t="str">
        <f>IF('8'!E5="","",'8'!E5)</f>
        <v/>
      </c>
      <c r="E170" s="111"/>
    </row>
    <row r="171" spans="1:5" hidden="1" x14ac:dyDescent="0.25">
      <c r="A171" s="97" t="s">
        <v>23</v>
      </c>
      <c r="B171" s="162"/>
      <c r="C171" s="4">
        <v>2</v>
      </c>
      <c r="D171" s="78">
        <f>IF('8'!E6="","",'8'!E6)</f>
        <v>46252</v>
      </c>
      <c r="E171" s="111"/>
    </row>
    <row r="172" spans="1:5" hidden="1" x14ac:dyDescent="0.25">
      <c r="A172" s="97" t="s">
        <v>23</v>
      </c>
      <c r="B172" s="162"/>
      <c r="C172" s="4">
        <v>3</v>
      </c>
      <c r="D172" s="78" t="str">
        <f>IF('8'!E7="","",'8'!E7)</f>
        <v/>
      </c>
      <c r="E172" s="111"/>
    </row>
    <row r="173" spans="1:5" hidden="1" x14ac:dyDescent="0.25">
      <c r="A173" s="97" t="s">
        <v>23</v>
      </c>
      <c r="B173" s="162"/>
      <c r="C173" s="4">
        <v>4</v>
      </c>
      <c r="D173" s="78" t="str">
        <f>IF('8'!E8="","",'8'!E8)</f>
        <v/>
      </c>
      <c r="E173" s="111"/>
    </row>
    <row r="174" spans="1:5" hidden="1" x14ac:dyDescent="0.25">
      <c r="A174" s="97" t="s">
        <v>23</v>
      </c>
      <c r="B174" s="162"/>
      <c r="C174" s="4">
        <v>5</v>
      </c>
      <c r="D174" s="78" t="str">
        <f>IF('8'!E9="","",'8'!E9)</f>
        <v/>
      </c>
      <c r="E174" s="111"/>
    </row>
    <row r="175" spans="1:5" hidden="1" x14ac:dyDescent="0.25">
      <c r="A175" s="97" t="s">
        <v>23</v>
      </c>
      <c r="B175" s="162"/>
      <c r="C175" s="4">
        <v>6</v>
      </c>
      <c r="D175" s="78" t="str">
        <f>IF('8'!E10="","",'8'!E10)</f>
        <v/>
      </c>
      <c r="E175" s="111"/>
    </row>
    <row r="176" spans="1:5" hidden="1" x14ac:dyDescent="0.25">
      <c r="A176" s="97" t="s">
        <v>23</v>
      </c>
      <c r="B176" s="162"/>
      <c r="C176" s="4">
        <v>7</v>
      </c>
      <c r="D176" s="78" t="str">
        <f>IF('8'!E11="","",'8'!E11)</f>
        <v/>
      </c>
      <c r="E176" s="111"/>
    </row>
    <row r="177" spans="1:5" hidden="1" x14ac:dyDescent="0.25">
      <c r="A177" s="97" t="s">
        <v>23</v>
      </c>
      <c r="B177" s="162"/>
      <c r="C177" s="4">
        <v>8</v>
      </c>
      <c r="D177" s="78" t="str">
        <f>IF('8'!E12="","",'8'!E12)</f>
        <v/>
      </c>
      <c r="E177" s="111"/>
    </row>
    <row r="178" spans="1:5" hidden="1" x14ac:dyDescent="0.25">
      <c r="A178" s="97" t="s">
        <v>23</v>
      </c>
      <c r="B178" s="162"/>
      <c r="C178" s="4">
        <v>9</v>
      </c>
      <c r="D178" s="78" t="str">
        <f>IF('8'!E13="","",'8'!E13)</f>
        <v/>
      </c>
      <c r="E178" s="111"/>
    </row>
    <row r="179" spans="1:5" hidden="1" x14ac:dyDescent="0.25">
      <c r="A179" s="97" t="s">
        <v>23</v>
      </c>
      <c r="B179" s="162"/>
      <c r="C179" s="4">
        <v>10</v>
      </c>
      <c r="D179" s="78" t="str">
        <f>IF('8'!E14="","",'8'!E14)</f>
        <v/>
      </c>
      <c r="E179" s="111"/>
    </row>
    <row r="180" spans="1:5" hidden="1" x14ac:dyDescent="0.25">
      <c r="A180" s="97" t="s">
        <v>23</v>
      </c>
      <c r="B180" s="162"/>
      <c r="C180" s="4">
        <v>11</v>
      </c>
      <c r="D180" s="78">
        <f>IF('8'!E15="","",'8'!E15)</f>
        <v>46252</v>
      </c>
      <c r="E180" s="111"/>
    </row>
    <row r="181" spans="1:5" hidden="1" x14ac:dyDescent="0.25">
      <c r="A181" s="97" t="s">
        <v>23</v>
      </c>
      <c r="B181" s="162"/>
      <c r="C181" s="4">
        <v>12</v>
      </c>
      <c r="D181" s="78" t="str">
        <f>IF('8'!E16="","",'8'!E16)</f>
        <v/>
      </c>
      <c r="E181" s="111"/>
    </row>
    <row r="182" spans="1:5" hidden="1" x14ac:dyDescent="0.25">
      <c r="A182" s="97" t="s">
        <v>23</v>
      </c>
      <c r="B182" s="162"/>
      <c r="C182" s="4">
        <v>13</v>
      </c>
      <c r="D182" s="78">
        <f>IF('8'!E17="","",'8'!E17)</f>
        <v>46253</v>
      </c>
      <c r="E182" s="111"/>
    </row>
    <row r="183" spans="1:5" hidden="1" x14ac:dyDescent="0.25">
      <c r="A183" s="97" t="s">
        <v>23</v>
      </c>
      <c r="B183" s="162"/>
      <c r="C183" s="4">
        <v>14</v>
      </c>
      <c r="D183" s="78" t="str">
        <f>IF('8'!E18="","",'8'!E18)</f>
        <v/>
      </c>
      <c r="E183" s="111"/>
    </row>
    <row r="184" spans="1:5" hidden="1" x14ac:dyDescent="0.25">
      <c r="A184" s="97" t="s">
        <v>23</v>
      </c>
      <c r="B184" s="162"/>
      <c r="C184" s="4">
        <v>15</v>
      </c>
      <c r="D184" s="78">
        <f>IF('8'!E19="","",'8'!E19)</f>
        <v>46251</v>
      </c>
      <c r="E184" s="111"/>
    </row>
    <row r="185" spans="1:5" hidden="1" x14ac:dyDescent="0.25">
      <c r="A185" s="97" t="s">
        <v>23</v>
      </c>
      <c r="B185" s="162"/>
      <c r="C185" s="4">
        <v>16</v>
      </c>
      <c r="D185" s="78" t="str">
        <f>IF('8'!E20="","",'8'!E20)</f>
        <v/>
      </c>
      <c r="E185" s="111"/>
    </row>
    <row r="186" spans="1:5" hidden="1" x14ac:dyDescent="0.25">
      <c r="A186" s="97" t="s">
        <v>23</v>
      </c>
      <c r="B186" s="162"/>
      <c r="C186" s="4">
        <v>17</v>
      </c>
      <c r="D186" s="78" t="str">
        <f>IF('8'!E21="","",'8'!E21)</f>
        <v/>
      </c>
      <c r="E186" s="111"/>
    </row>
    <row r="187" spans="1:5" hidden="1" x14ac:dyDescent="0.25">
      <c r="A187" s="97" t="s">
        <v>23</v>
      </c>
      <c r="B187" s="162"/>
      <c r="C187" s="4">
        <v>18</v>
      </c>
      <c r="D187" s="78" t="str">
        <f>IF('8'!E22="","",'8'!E22)</f>
        <v/>
      </c>
      <c r="E187" s="111"/>
    </row>
    <row r="188" spans="1:5" hidden="1" x14ac:dyDescent="0.25">
      <c r="A188" s="97" t="s">
        <v>23</v>
      </c>
      <c r="B188" s="162"/>
      <c r="C188" s="4">
        <v>19</v>
      </c>
      <c r="D188" s="78" t="str">
        <f>IF('8'!E23="","",'8'!E23)</f>
        <v/>
      </c>
      <c r="E188" s="111"/>
    </row>
    <row r="189" spans="1:5" hidden="1" x14ac:dyDescent="0.25">
      <c r="A189" s="97" t="s">
        <v>23</v>
      </c>
      <c r="B189" s="162"/>
      <c r="C189" s="4">
        <v>20</v>
      </c>
      <c r="D189" s="78" t="str">
        <f>IF('8'!E24="","",'8'!E24)</f>
        <v/>
      </c>
      <c r="E189" s="111"/>
    </row>
    <row r="190" spans="1:5" hidden="1" x14ac:dyDescent="0.25">
      <c r="A190" s="97" t="s">
        <v>23</v>
      </c>
      <c r="B190" s="162"/>
      <c r="C190" s="4">
        <v>21</v>
      </c>
      <c r="D190" s="78" t="str">
        <f>IF('8'!E25="","",'8'!E25)</f>
        <v/>
      </c>
      <c r="E190" s="111"/>
    </row>
    <row r="191" spans="1:5" hidden="1" x14ac:dyDescent="0.25">
      <c r="A191" s="97" t="s">
        <v>23</v>
      </c>
      <c r="B191" s="162"/>
      <c r="C191" s="4">
        <v>22</v>
      </c>
      <c r="D191" s="78" t="str">
        <f>IF('8'!E26="","",'8'!E26)</f>
        <v/>
      </c>
      <c r="E191" s="111"/>
    </row>
    <row r="192" spans="1:5" hidden="1" x14ac:dyDescent="0.25">
      <c r="A192" s="97" t="s">
        <v>23</v>
      </c>
      <c r="B192" s="162"/>
      <c r="C192" s="4">
        <v>23</v>
      </c>
      <c r="D192" s="78">
        <f>IF('8'!E27="","",'8'!E27)</f>
        <v>46252</v>
      </c>
      <c r="E192" s="111"/>
    </row>
    <row r="193" spans="1:5" hidden="1" x14ac:dyDescent="0.25">
      <c r="A193" s="97" t="s">
        <v>23</v>
      </c>
      <c r="B193" s="163"/>
      <c r="C193" s="4">
        <v>24</v>
      </c>
      <c r="D193" s="78" t="str">
        <f>IF('8'!E28="","",'8'!E28)</f>
        <v/>
      </c>
      <c r="E193" s="111"/>
    </row>
    <row r="194" spans="1:5" hidden="1" x14ac:dyDescent="0.25">
      <c r="A194" s="98" t="s">
        <v>83</v>
      </c>
      <c r="B194" s="161" t="s">
        <v>83</v>
      </c>
      <c r="C194" s="4">
        <v>1</v>
      </c>
      <c r="D194" s="78">
        <f>IF('9'!E5="","",'9'!E5)</f>
        <v>46248</v>
      </c>
      <c r="E194" s="111"/>
    </row>
    <row r="195" spans="1:5" hidden="1" x14ac:dyDescent="0.25">
      <c r="A195" s="98" t="s">
        <v>83</v>
      </c>
      <c r="B195" s="162"/>
      <c r="C195" s="4">
        <v>2</v>
      </c>
      <c r="D195" s="78">
        <f>IF('9'!E6="","",'9'!E6)</f>
        <v>46240</v>
      </c>
      <c r="E195" s="111"/>
    </row>
    <row r="196" spans="1:5" hidden="1" x14ac:dyDescent="0.25">
      <c r="A196" s="98" t="s">
        <v>83</v>
      </c>
      <c r="B196" s="162"/>
      <c r="C196" s="4">
        <v>3</v>
      </c>
      <c r="D196" s="78">
        <f>IF('9'!E7="","",'9'!E7)</f>
        <v>46244</v>
      </c>
      <c r="E196" s="111"/>
    </row>
    <row r="197" spans="1:5" hidden="1" x14ac:dyDescent="0.25">
      <c r="A197" s="98" t="s">
        <v>83</v>
      </c>
      <c r="B197" s="162"/>
      <c r="C197" s="4">
        <v>4</v>
      </c>
      <c r="D197" s="78">
        <f>IF('9'!E8="","",'9'!E8)</f>
        <v>46241</v>
      </c>
      <c r="E197" s="111"/>
    </row>
    <row r="198" spans="1:5" hidden="1" x14ac:dyDescent="0.25">
      <c r="A198" s="98" t="s">
        <v>83</v>
      </c>
      <c r="B198" s="162"/>
      <c r="C198" s="4">
        <v>5</v>
      </c>
      <c r="D198" s="78">
        <f>IF('9'!E9="","",'9'!E9)</f>
        <v>46245</v>
      </c>
      <c r="E198" s="111"/>
    </row>
    <row r="199" spans="1:5" hidden="1" x14ac:dyDescent="0.25">
      <c r="A199" s="98" t="s">
        <v>83</v>
      </c>
      <c r="B199" s="162"/>
      <c r="C199" s="4">
        <v>6</v>
      </c>
      <c r="D199" s="78">
        <f>IF('9'!E10="","",'9'!E10)</f>
        <v>46242</v>
      </c>
      <c r="E199" s="111"/>
    </row>
    <row r="200" spans="1:5" hidden="1" x14ac:dyDescent="0.25">
      <c r="A200" s="98" t="s">
        <v>83</v>
      </c>
      <c r="B200" s="162"/>
      <c r="C200" s="4">
        <v>7</v>
      </c>
      <c r="D200" s="78">
        <f>IF('9'!E11="","",'9'!E11)</f>
        <v>46246</v>
      </c>
      <c r="E200" s="111"/>
    </row>
    <row r="201" spans="1:5" hidden="1" x14ac:dyDescent="0.25">
      <c r="A201" s="98" t="s">
        <v>83</v>
      </c>
      <c r="B201" s="162"/>
      <c r="C201" s="4">
        <v>8</v>
      </c>
      <c r="D201" s="78">
        <f>IF('9'!E12="","",'9'!E12)</f>
        <v>46245</v>
      </c>
      <c r="E201" s="111"/>
    </row>
    <row r="202" spans="1:5" hidden="1" x14ac:dyDescent="0.25">
      <c r="A202" s="98" t="s">
        <v>83</v>
      </c>
      <c r="B202" s="162"/>
      <c r="C202" s="4">
        <v>9</v>
      </c>
      <c r="D202" s="78">
        <f>IF('9'!E13="","",'9'!E13)</f>
        <v>46246</v>
      </c>
      <c r="E202" s="111"/>
    </row>
    <row r="203" spans="1:5" hidden="1" x14ac:dyDescent="0.25">
      <c r="A203" s="98" t="s">
        <v>83</v>
      </c>
      <c r="B203" s="162"/>
      <c r="C203" s="4">
        <v>10</v>
      </c>
      <c r="D203" s="78">
        <f>IF('9'!E14="","",'9'!E14)</f>
        <v>46249</v>
      </c>
      <c r="E203" s="111"/>
    </row>
    <row r="204" spans="1:5" hidden="1" x14ac:dyDescent="0.25">
      <c r="A204" s="98" t="s">
        <v>83</v>
      </c>
      <c r="B204" s="162"/>
      <c r="C204" s="4">
        <v>11</v>
      </c>
      <c r="D204" s="78">
        <f>IF('9'!E15="","",'9'!E15)</f>
        <v>46243</v>
      </c>
      <c r="E204" s="111"/>
    </row>
    <row r="205" spans="1:5" hidden="1" x14ac:dyDescent="0.25">
      <c r="A205" s="98" t="s">
        <v>83</v>
      </c>
      <c r="B205" s="162"/>
      <c r="C205" s="4">
        <v>12</v>
      </c>
      <c r="D205" s="78">
        <f>IF('9'!E16="","",'9'!E16)</f>
        <v>46248</v>
      </c>
      <c r="E205" s="111"/>
    </row>
    <row r="206" spans="1:5" hidden="1" x14ac:dyDescent="0.25">
      <c r="A206" s="98" t="s">
        <v>83</v>
      </c>
      <c r="B206" s="162"/>
      <c r="C206" s="4">
        <v>13</v>
      </c>
      <c r="D206" s="78">
        <f>IF('9'!E17="","",'9'!E17)</f>
        <v>46239</v>
      </c>
      <c r="E206" s="111"/>
    </row>
    <row r="207" spans="1:5" hidden="1" x14ac:dyDescent="0.25">
      <c r="A207" s="98" t="s">
        <v>83</v>
      </c>
      <c r="B207" s="162"/>
      <c r="C207" s="4">
        <v>14</v>
      </c>
      <c r="D207" s="78">
        <f>IF('9'!E18="","",'9'!E18)</f>
        <v>46247</v>
      </c>
      <c r="E207" s="111"/>
    </row>
    <row r="208" spans="1:5" hidden="1" x14ac:dyDescent="0.25">
      <c r="A208" s="98" t="s">
        <v>83</v>
      </c>
      <c r="B208" s="162"/>
      <c r="C208" s="4">
        <v>15</v>
      </c>
      <c r="D208" s="78">
        <f>IF('9'!E19="","",'9'!E19)</f>
        <v>46241</v>
      </c>
      <c r="E208" s="111"/>
    </row>
    <row r="209" spans="1:5" hidden="1" x14ac:dyDescent="0.25">
      <c r="A209" s="98" t="s">
        <v>83</v>
      </c>
      <c r="B209" s="162"/>
      <c r="C209" s="4">
        <v>16</v>
      </c>
      <c r="D209" s="78">
        <f>IF('9'!E20="","",'9'!E20)</f>
        <v>46244</v>
      </c>
      <c r="E209" s="111"/>
    </row>
    <row r="210" spans="1:5" hidden="1" x14ac:dyDescent="0.25">
      <c r="A210" s="98" t="s">
        <v>83</v>
      </c>
      <c r="B210" s="162"/>
      <c r="C210" s="4">
        <v>17</v>
      </c>
      <c r="D210" s="78">
        <f>IF('9'!E21="","",'9'!E21)</f>
        <v>46242</v>
      </c>
      <c r="E210" s="111"/>
    </row>
    <row r="211" spans="1:5" hidden="1" x14ac:dyDescent="0.25">
      <c r="A211" s="98" t="s">
        <v>83</v>
      </c>
      <c r="B211" s="162"/>
      <c r="C211" s="4">
        <v>18</v>
      </c>
      <c r="D211" s="78">
        <f>IF('9'!E22="","",'9'!E22)</f>
        <v>46245</v>
      </c>
      <c r="E211" s="111"/>
    </row>
    <row r="212" spans="1:5" hidden="1" x14ac:dyDescent="0.25">
      <c r="A212" s="98" t="s">
        <v>83</v>
      </c>
      <c r="B212" s="162"/>
      <c r="C212" s="4">
        <v>19</v>
      </c>
      <c r="D212" s="78">
        <f>IF('9'!E23="","",'9'!E23)</f>
        <v>46243</v>
      </c>
      <c r="E212" s="111"/>
    </row>
    <row r="213" spans="1:5" hidden="1" x14ac:dyDescent="0.25">
      <c r="A213" s="98" t="s">
        <v>83</v>
      </c>
      <c r="B213" s="162"/>
      <c r="C213" s="4">
        <v>20</v>
      </c>
      <c r="D213" s="78">
        <f>IF('9'!E24="","",'9'!E24)</f>
        <v>46246</v>
      </c>
      <c r="E213" s="111"/>
    </row>
    <row r="214" spans="1:5" hidden="1" x14ac:dyDescent="0.25">
      <c r="A214" s="98" t="s">
        <v>83</v>
      </c>
      <c r="B214" s="162"/>
      <c r="C214" s="4">
        <v>21</v>
      </c>
      <c r="D214" s="78">
        <f>IF('9'!E25="","",'9'!E25)</f>
        <v>46247</v>
      </c>
      <c r="E214" s="111"/>
    </row>
    <row r="215" spans="1:5" hidden="1" x14ac:dyDescent="0.25">
      <c r="A215" s="98" t="s">
        <v>83</v>
      </c>
      <c r="B215" s="162"/>
      <c r="C215" s="4">
        <v>22</v>
      </c>
      <c r="D215" s="78">
        <f>IF('9'!E26="","",'9'!E26)</f>
        <v>46250</v>
      </c>
      <c r="E215" s="111"/>
    </row>
    <row r="216" spans="1:5" hidden="1" x14ac:dyDescent="0.25">
      <c r="A216" s="98" t="s">
        <v>83</v>
      </c>
      <c r="B216" s="162"/>
      <c r="C216" s="4">
        <v>23</v>
      </c>
      <c r="D216" s="78">
        <f>IF('9'!E27="","",'9'!E27)</f>
        <v>46249</v>
      </c>
      <c r="E216" s="111"/>
    </row>
    <row r="217" spans="1:5" hidden="1" x14ac:dyDescent="0.25">
      <c r="A217" s="98" t="s">
        <v>83</v>
      </c>
      <c r="B217" s="163"/>
      <c r="C217" s="4">
        <v>24</v>
      </c>
      <c r="D217" s="78">
        <f>IF('9'!E28="","",'9'!E28)</f>
        <v>46250</v>
      </c>
      <c r="E217" s="111"/>
    </row>
    <row r="218" spans="1:5" hidden="1" x14ac:dyDescent="0.25">
      <c r="A218" s="99" t="s">
        <v>7</v>
      </c>
      <c r="B218" s="161" t="s">
        <v>7</v>
      </c>
      <c r="C218" s="4">
        <v>1</v>
      </c>
      <c r="D218" s="78" t="str">
        <f>IF('10'!E5="","",'10'!E5)</f>
        <v/>
      </c>
      <c r="E218" s="111"/>
    </row>
    <row r="219" spans="1:5" hidden="1" x14ac:dyDescent="0.25">
      <c r="A219" s="99" t="s">
        <v>7</v>
      </c>
      <c r="B219" s="162"/>
      <c r="C219" s="4">
        <v>2</v>
      </c>
      <c r="D219" s="78">
        <f>IF('10'!E6="","",'10'!E6)</f>
        <v>46252</v>
      </c>
      <c r="E219" s="111"/>
    </row>
    <row r="220" spans="1:5" hidden="1" x14ac:dyDescent="0.25">
      <c r="A220" s="99" t="s">
        <v>7</v>
      </c>
      <c r="B220" s="162"/>
      <c r="C220" s="4">
        <v>3</v>
      </c>
      <c r="D220" s="78">
        <f>IF('10'!E7="","",'10'!E7)</f>
        <v>46250</v>
      </c>
      <c r="E220" s="111"/>
    </row>
    <row r="221" spans="1:5" hidden="1" x14ac:dyDescent="0.25">
      <c r="A221" s="99" t="s">
        <v>7</v>
      </c>
      <c r="B221" s="162"/>
      <c r="C221" s="4">
        <v>4</v>
      </c>
      <c r="D221" s="78" t="str">
        <f>IF('10'!E8="","",'10'!E8)</f>
        <v/>
      </c>
      <c r="E221" s="111"/>
    </row>
    <row r="222" spans="1:5" hidden="1" x14ac:dyDescent="0.25">
      <c r="A222" s="99" t="s">
        <v>7</v>
      </c>
      <c r="B222" s="162"/>
      <c r="C222" s="4">
        <v>5</v>
      </c>
      <c r="D222" s="78">
        <f>IF('10'!E9="","",'10'!E9)</f>
        <v>46250</v>
      </c>
      <c r="E222" s="111"/>
    </row>
    <row r="223" spans="1:5" hidden="1" x14ac:dyDescent="0.25">
      <c r="A223" s="99" t="s">
        <v>7</v>
      </c>
      <c r="B223" s="162"/>
      <c r="C223" s="4">
        <v>6</v>
      </c>
      <c r="D223" s="78">
        <f>IF('10'!E10="","",'10'!E10)</f>
        <v>46253</v>
      </c>
      <c r="E223" s="111"/>
    </row>
    <row r="224" spans="1:5" hidden="1" x14ac:dyDescent="0.25">
      <c r="A224" s="99" t="s">
        <v>7</v>
      </c>
      <c r="B224" s="162"/>
      <c r="C224" s="4">
        <v>7</v>
      </c>
      <c r="D224" s="78">
        <f>IF('10'!E11="","",'10'!E11)</f>
        <v>46251</v>
      </c>
      <c r="E224" s="111"/>
    </row>
    <row r="225" spans="1:5" hidden="1" x14ac:dyDescent="0.25">
      <c r="A225" s="99" t="s">
        <v>7</v>
      </c>
      <c r="B225" s="162"/>
      <c r="C225" s="4">
        <v>8</v>
      </c>
      <c r="D225" s="78">
        <f>IF('10'!E12="","",'10'!E12)</f>
        <v>46252</v>
      </c>
      <c r="E225" s="111"/>
    </row>
    <row r="226" spans="1:5" hidden="1" x14ac:dyDescent="0.25">
      <c r="A226" s="99" t="s">
        <v>7</v>
      </c>
      <c r="B226" s="162"/>
      <c r="C226" s="4">
        <v>9</v>
      </c>
      <c r="D226" s="78">
        <f>IF('10'!E13="","",'10'!E13)</f>
        <v>46249</v>
      </c>
      <c r="E226" s="111"/>
    </row>
    <row r="227" spans="1:5" hidden="1" x14ac:dyDescent="0.25">
      <c r="A227" s="99" t="s">
        <v>7</v>
      </c>
      <c r="B227" s="162"/>
      <c r="C227" s="4">
        <v>10</v>
      </c>
      <c r="D227" s="78" t="str">
        <f>IF('10'!E14="","",'10'!E14)</f>
        <v/>
      </c>
      <c r="E227" s="111"/>
    </row>
    <row r="228" spans="1:5" hidden="1" x14ac:dyDescent="0.25">
      <c r="A228" s="99" t="s">
        <v>7</v>
      </c>
      <c r="B228" s="162"/>
      <c r="C228" s="4">
        <v>11</v>
      </c>
      <c r="D228" s="78" t="str">
        <f>IF('10'!E15="","",'10'!E15)</f>
        <v/>
      </c>
      <c r="E228" s="111"/>
    </row>
    <row r="229" spans="1:5" hidden="1" x14ac:dyDescent="0.25">
      <c r="A229" s="99" t="s">
        <v>7</v>
      </c>
      <c r="B229" s="162"/>
      <c r="C229" s="4">
        <v>12</v>
      </c>
      <c r="D229" s="78">
        <f>IF('10'!E16="","",'10'!E16)</f>
        <v>46251</v>
      </c>
      <c r="E229" s="111"/>
    </row>
    <row r="230" spans="1:5" hidden="1" x14ac:dyDescent="0.25">
      <c r="A230" s="99" t="s">
        <v>7</v>
      </c>
      <c r="B230" s="162"/>
      <c r="C230" s="4">
        <v>13</v>
      </c>
      <c r="D230" s="78" t="str">
        <f>IF('10'!E17="","",'10'!E17)</f>
        <v/>
      </c>
      <c r="E230" s="111"/>
    </row>
    <row r="231" spans="1:5" hidden="1" x14ac:dyDescent="0.25">
      <c r="A231" s="99" t="s">
        <v>7</v>
      </c>
      <c r="B231" s="162"/>
      <c r="C231" s="4">
        <v>14</v>
      </c>
      <c r="D231" s="78" t="str">
        <f>IF('10'!E18="","",'10'!E18)</f>
        <v/>
      </c>
      <c r="E231" s="111"/>
    </row>
    <row r="232" spans="1:5" hidden="1" x14ac:dyDescent="0.25">
      <c r="A232" s="99" t="s">
        <v>7</v>
      </c>
      <c r="B232" s="162"/>
      <c r="C232" s="4">
        <v>15</v>
      </c>
      <c r="D232" s="78" t="str">
        <f>IF('10'!E19="","",'10'!E19)</f>
        <v/>
      </c>
      <c r="E232" s="111"/>
    </row>
    <row r="233" spans="1:5" hidden="1" x14ac:dyDescent="0.25">
      <c r="A233" s="99" t="s">
        <v>7</v>
      </c>
      <c r="B233" s="162"/>
      <c r="C233" s="4">
        <v>16</v>
      </c>
      <c r="D233" s="78" t="str">
        <f>IF('10'!E20="","",'10'!E20)</f>
        <v/>
      </c>
      <c r="E233" s="111"/>
    </row>
    <row r="234" spans="1:5" hidden="1" x14ac:dyDescent="0.25">
      <c r="A234" s="99" t="s">
        <v>7</v>
      </c>
      <c r="B234" s="162"/>
      <c r="C234" s="4">
        <v>17</v>
      </c>
      <c r="D234" s="78" t="str">
        <f>IF('10'!E21="","",'10'!E21)</f>
        <v/>
      </c>
      <c r="E234" s="111"/>
    </row>
    <row r="235" spans="1:5" hidden="1" x14ac:dyDescent="0.25">
      <c r="A235" s="99" t="s">
        <v>7</v>
      </c>
      <c r="B235" s="162"/>
      <c r="C235" s="4">
        <v>18</v>
      </c>
      <c r="D235" s="78" t="str">
        <f>IF('10'!E22="","",'10'!E22)</f>
        <v/>
      </c>
      <c r="E235" s="111"/>
    </row>
    <row r="236" spans="1:5" hidden="1" x14ac:dyDescent="0.25">
      <c r="A236" s="99" t="s">
        <v>7</v>
      </c>
      <c r="B236" s="162"/>
      <c r="C236" s="4">
        <v>19</v>
      </c>
      <c r="D236" s="78" t="str">
        <f>IF('10'!E23="","",'10'!E23)</f>
        <v/>
      </c>
      <c r="E236" s="111"/>
    </row>
    <row r="237" spans="1:5" hidden="1" x14ac:dyDescent="0.25">
      <c r="A237" s="99" t="s">
        <v>7</v>
      </c>
      <c r="B237" s="162"/>
      <c r="C237" s="4">
        <v>20</v>
      </c>
      <c r="D237" s="78" t="str">
        <f>IF('10'!E24="","",'10'!E24)</f>
        <v/>
      </c>
      <c r="E237" s="111"/>
    </row>
    <row r="238" spans="1:5" hidden="1" x14ac:dyDescent="0.25">
      <c r="A238" s="99" t="s">
        <v>7</v>
      </c>
      <c r="B238" s="162"/>
      <c r="C238" s="4">
        <v>21</v>
      </c>
      <c r="D238" s="78" t="str">
        <f>IF('10'!E25="","",'10'!E25)</f>
        <v/>
      </c>
      <c r="E238" s="111"/>
    </row>
    <row r="239" spans="1:5" hidden="1" x14ac:dyDescent="0.25">
      <c r="A239" s="99" t="s">
        <v>7</v>
      </c>
      <c r="B239" s="162"/>
      <c r="C239" s="4">
        <v>22</v>
      </c>
      <c r="D239" s="78" t="str">
        <f>IF('10'!E26="","",'10'!E26)</f>
        <v/>
      </c>
      <c r="E239" s="111"/>
    </row>
    <row r="240" spans="1:5" hidden="1" x14ac:dyDescent="0.25">
      <c r="A240" s="99" t="s">
        <v>7</v>
      </c>
      <c r="B240" s="162"/>
      <c r="C240" s="4">
        <v>23</v>
      </c>
      <c r="D240" s="78" t="str">
        <f>IF('10'!E27="","",'10'!E27)</f>
        <v/>
      </c>
      <c r="E240" s="111"/>
    </row>
    <row r="241" spans="1:5" hidden="1" x14ac:dyDescent="0.25">
      <c r="A241" s="99" t="s">
        <v>7</v>
      </c>
      <c r="B241" s="163"/>
      <c r="C241" s="4">
        <v>24</v>
      </c>
      <c r="D241" s="78" t="str">
        <f>IF('10'!E28="","",'10'!E28)</f>
        <v/>
      </c>
      <c r="E241" s="111"/>
    </row>
    <row r="242" spans="1:5" hidden="1" x14ac:dyDescent="0.25">
      <c r="A242" s="100" t="s">
        <v>82</v>
      </c>
      <c r="B242" s="161" t="s">
        <v>82</v>
      </c>
      <c r="C242" s="4">
        <v>1</v>
      </c>
      <c r="D242" s="78">
        <f>IF('11'!E5="","",'11'!E5)</f>
        <v>46241</v>
      </c>
      <c r="E242" s="111"/>
    </row>
    <row r="243" spans="1:5" hidden="1" x14ac:dyDescent="0.25">
      <c r="A243" s="100" t="s">
        <v>82</v>
      </c>
      <c r="B243" s="162"/>
      <c r="C243" s="4">
        <v>2</v>
      </c>
      <c r="D243" s="78">
        <f>IF('11'!E6="","",'11'!E6)</f>
        <v>46242</v>
      </c>
      <c r="E243" s="111"/>
    </row>
    <row r="244" spans="1:5" hidden="1" x14ac:dyDescent="0.25">
      <c r="A244" s="100" t="s">
        <v>82</v>
      </c>
      <c r="B244" s="162"/>
      <c r="C244" s="4">
        <v>3</v>
      </c>
      <c r="D244" s="78">
        <f>IF('11'!E7="","",'11'!E7)</f>
        <v>46238</v>
      </c>
      <c r="E244" s="111"/>
    </row>
    <row r="245" spans="1:5" hidden="1" x14ac:dyDescent="0.25">
      <c r="A245" s="100" t="s">
        <v>82</v>
      </c>
      <c r="B245" s="162"/>
      <c r="C245" s="4">
        <v>4</v>
      </c>
      <c r="D245" s="78">
        <f>IF('11'!E8="","",'11'!E8)</f>
        <v>46241</v>
      </c>
      <c r="E245" s="111"/>
    </row>
    <row r="246" spans="1:5" hidden="1" x14ac:dyDescent="0.25">
      <c r="A246" s="100" t="s">
        <v>82</v>
      </c>
      <c r="B246" s="162"/>
      <c r="C246" s="4">
        <v>5</v>
      </c>
      <c r="D246" s="78">
        <f>IF('11'!E9="","",'11'!E9)</f>
        <v>46238</v>
      </c>
      <c r="E246" s="111"/>
    </row>
    <row r="247" spans="1:5" hidden="1" x14ac:dyDescent="0.25">
      <c r="A247" s="100" t="s">
        <v>82</v>
      </c>
      <c r="B247" s="162"/>
      <c r="C247" s="4">
        <v>6</v>
      </c>
      <c r="D247" s="78">
        <f>IF('11'!E10="","",'11'!E10)</f>
        <v>46241</v>
      </c>
      <c r="E247" s="111"/>
    </row>
    <row r="248" spans="1:5" hidden="1" x14ac:dyDescent="0.25">
      <c r="A248" s="100" t="s">
        <v>82</v>
      </c>
      <c r="B248" s="162"/>
      <c r="C248" s="4">
        <v>7</v>
      </c>
      <c r="D248" s="78">
        <f>IF('11'!E11="","",'11'!E11)</f>
        <v>46238</v>
      </c>
      <c r="E248" s="111"/>
    </row>
    <row r="249" spans="1:5" hidden="1" x14ac:dyDescent="0.25">
      <c r="A249" s="100" t="s">
        <v>82</v>
      </c>
      <c r="B249" s="162"/>
      <c r="C249" s="4">
        <v>8</v>
      </c>
      <c r="D249" s="78">
        <f>IF('11'!E12="","",'11'!E12)</f>
        <v>46239</v>
      </c>
      <c r="E249" s="111"/>
    </row>
    <row r="250" spans="1:5" hidden="1" x14ac:dyDescent="0.25">
      <c r="A250" s="100" t="s">
        <v>82</v>
      </c>
      <c r="B250" s="162"/>
      <c r="C250" s="4">
        <v>9</v>
      </c>
      <c r="D250" s="78">
        <f>IF('11'!E13="","",'11'!E13)</f>
        <v>46237</v>
      </c>
      <c r="E250" s="111"/>
    </row>
    <row r="251" spans="1:5" hidden="1" x14ac:dyDescent="0.25">
      <c r="A251" s="100" t="s">
        <v>82</v>
      </c>
      <c r="B251" s="162"/>
      <c r="C251" s="4">
        <v>10</v>
      </c>
      <c r="D251" s="78">
        <f>IF('11'!E14="","",'11'!E14)</f>
        <v>46239</v>
      </c>
      <c r="E251" s="111"/>
    </row>
    <row r="252" spans="1:5" hidden="1" x14ac:dyDescent="0.25">
      <c r="A252" s="100" t="s">
        <v>82</v>
      </c>
      <c r="B252" s="162"/>
      <c r="C252" s="4">
        <v>11</v>
      </c>
      <c r="D252" s="78">
        <f>IF('11'!E15="","",'11'!E15)</f>
        <v>46238</v>
      </c>
      <c r="E252" s="111"/>
    </row>
    <row r="253" spans="1:5" hidden="1" x14ac:dyDescent="0.25">
      <c r="A253" s="100" t="s">
        <v>82</v>
      </c>
      <c r="B253" s="162"/>
      <c r="C253" s="4">
        <v>12</v>
      </c>
      <c r="D253" s="78">
        <f>IF('11'!E16="","",'11'!E16)</f>
        <v>46239</v>
      </c>
      <c r="E253" s="111"/>
    </row>
    <row r="254" spans="1:5" hidden="1" x14ac:dyDescent="0.25">
      <c r="A254" s="100" t="s">
        <v>82</v>
      </c>
      <c r="B254" s="162"/>
      <c r="C254" s="4">
        <v>13</v>
      </c>
      <c r="D254" s="78">
        <f>IF('11'!E17="","",'11'!E17)</f>
        <v>46239</v>
      </c>
      <c r="E254" s="111"/>
    </row>
    <row r="255" spans="1:5" hidden="1" x14ac:dyDescent="0.25">
      <c r="A255" s="100" t="s">
        <v>82</v>
      </c>
      <c r="B255" s="162"/>
      <c r="C255" s="4">
        <v>14</v>
      </c>
      <c r="D255" s="78">
        <f>IF('11'!E18="","",'11'!E18)</f>
        <v>46240</v>
      </c>
      <c r="E255" s="111"/>
    </row>
    <row r="256" spans="1:5" hidden="1" x14ac:dyDescent="0.25">
      <c r="A256" s="100" t="s">
        <v>82</v>
      </c>
      <c r="B256" s="162"/>
      <c r="C256" s="4">
        <v>15</v>
      </c>
      <c r="D256" s="78">
        <f>IF('11'!E19="","",'11'!E19)</f>
        <v>46242</v>
      </c>
      <c r="E256" s="111"/>
    </row>
    <row r="257" spans="1:5" hidden="1" x14ac:dyDescent="0.25">
      <c r="A257" s="100" t="s">
        <v>82</v>
      </c>
      <c r="B257" s="162"/>
      <c r="C257" s="4">
        <v>16</v>
      </c>
      <c r="D257" s="78">
        <f>IF('11'!E20="","",'11'!E20)</f>
        <v>46241</v>
      </c>
      <c r="E257" s="111"/>
    </row>
    <row r="258" spans="1:5" hidden="1" x14ac:dyDescent="0.25">
      <c r="A258" s="100" t="s">
        <v>82</v>
      </c>
      <c r="B258" s="162"/>
      <c r="C258" s="4">
        <v>17</v>
      </c>
      <c r="D258" s="78">
        <f>IF('11'!E21="","",'11'!E21)</f>
        <v>46243</v>
      </c>
      <c r="E258" s="111"/>
    </row>
    <row r="259" spans="1:5" hidden="1" x14ac:dyDescent="0.25">
      <c r="A259" s="100" t="s">
        <v>82</v>
      </c>
      <c r="B259" s="162"/>
      <c r="C259" s="4">
        <v>18</v>
      </c>
      <c r="D259" s="78">
        <f>IF('11'!E22="","",'11'!E22)</f>
        <v>46242</v>
      </c>
      <c r="E259" s="111"/>
    </row>
    <row r="260" spans="1:5" hidden="1" x14ac:dyDescent="0.25">
      <c r="A260" s="100" t="s">
        <v>82</v>
      </c>
      <c r="B260" s="162"/>
      <c r="C260" s="4">
        <v>19</v>
      </c>
      <c r="D260" s="78">
        <f>IF('11'!E23="","",'11'!E23)</f>
        <v>46243</v>
      </c>
      <c r="E260" s="111"/>
    </row>
    <row r="261" spans="1:5" hidden="1" x14ac:dyDescent="0.25">
      <c r="A261" s="100" t="s">
        <v>82</v>
      </c>
      <c r="B261" s="162"/>
      <c r="C261" s="4">
        <v>20</v>
      </c>
      <c r="D261" s="78">
        <f>IF('11'!E24="","",'11'!E24)</f>
        <v>46245</v>
      </c>
      <c r="E261" s="111"/>
    </row>
    <row r="262" spans="1:5" hidden="1" x14ac:dyDescent="0.25">
      <c r="A262" s="100" t="s">
        <v>82</v>
      </c>
      <c r="B262" s="162"/>
      <c r="C262" s="4">
        <v>21</v>
      </c>
      <c r="D262" s="78">
        <f>IF('11'!E25="","",'11'!E25)</f>
        <v>46244</v>
      </c>
      <c r="E262" s="111"/>
    </row>
    <row r="263" spans="1:5" hidden="1" x14ac:dyDescent="0.25">
      <c r="A263" s="100" t="s">
        <v>82</v>
      </c>
      <c r="B263" s="162"/>
      <c r="C263" s="4">
        <v>22</v>
      </c>
      <c r="D263" s="78">
        <f>IF('11'!E26="","",'11'!E26)</f>
        <v>46243</v>
      </c>
      <c r="E263" s="111"/>
    </row>
    <row r="264" spans="1:5" hidden="1" x14ac:dyDescent="0.25">
      <c r="A264" s="100" t="s">
        <v>82</v>
      </c>
      <c r="B264" s="162"/>
      <c r="C264" s="4">
        <v>23</v>
      </c>
      <c r="D264" s="78">
        <f>IF('11'!E27="","",'11'!E27)</f>
        <v>46242</v>
      </c>
      <c r="E264" s="111"/>
    </row>
    <row r="265" spans="1:5" hidden="1" x14ac:dyDescent="0.25">
      <c r="A265" s="100" t="s">
        <v>82</v>
      </c>
      <c r="B265" s="163"/>
      <c r="C265" s="4">
        <v>24</v>
      </c>
      <c r="D265" s="78">
        <f>IF('11'!E28="","",'11'!E28)</f>
        <v>46243</v>
      </c>
      <c r="E265" s="111"/>
    </row>
    <row r="266" spans="1:5" x14ac:dyDescent="0.25">
      <c r="A266" s="101" t="s">
        <v>24</v>
      </c>
      <c r="B266" s="161" t="s">
        <v>24</v>
      </c>
      <c r="C266" s="4">
        <v>1</v>
      </c>
      <c r="D266" s="78">
        <f>IF('12'!E5="","",'12'!E5)</f>
        <v>46217</v>
      </c>
      <c r="E266" s="112"/>
    </row>
    <row r="267" spans="1:5" x14ac:dyDescent="0.25">
      <c r="A267" s="101" t="s">
        <v>24</v>
      </c>
      <c r="B267" s="162"/>
      <c r="C267" s="4">
        <v>2</v>
      </c>
      <c r="D267" s="78">
        <f>IF('12'!E6="","",'12'!E6)</f>
        <v>46228</v>
      </c>
      <c r="E267" s="111"/>
    </row>
    <row r="268" spans="1:5" x14ac:dyDescent="0.25">
      <c r="A268" s="101" t="s">
        <v>24</v>
      </c>
      <c r="B268" s="162"/>
      <c r="C268" s="4">
        <v>3</v>
      </c>
      <c r="D268" s="78">
        <f>IF('12'!E7="","",'12'!E7)</f>
        <v>46225</v>
      </c>
      <c r="E268" s="111"/>
    </row>
    <row r="269" spans="1:5" hidden="1" x14ac:dyDescent="0.25">
      <c r="A269" s="101" t="s">
        <v>24</v>
      </c>
      <c r="B269" s="162"/>
      <c r="C269" s="4">
        <v>4</v>
      </c>
      <c r="D269" s="78">
        <f>IF('12'!E8="","",'12'!E8)</f>
        <v>46234</v>
      </c>
      <c r="E269" s="111"/>
    </row>
    <row r="270" spans="1:5" hidden="1" x14ac:dyDescent="0.25">
      <c r="A270" s="101" t="s">
        <v>24</v>
      </c>
      <c r="B270" s="162"/>
      <c r="C270" s="4">
        <v>5</v>
      </c>
      <c r="D270" s="78">
        <f>IF('12'!E9="","",'12'!E9)</f>
        <v>46246</v>
      </c>
      <c r="E270" s="111"/>
    </row>
    <row r="271" spans="1:5" hidden="1" x14ac:dyDescent="0.25">
      <c r="A271" s="101" t="s">
        <v>24</v>
      </c>
      <c r="B271" s="162"/>
      <c r="C271" s="4">
        <v>6</v>
      </c>
      <c r="D271" s="78">
        <f>IF('12'!E10="","",'12'!E10)</f>
        <v>46245</v>
      </c>
      <c r="E271" s="111"/>
    </row>
    <row r="272" spans="1:5" x14ac:dyDescent="0.25">
      <c r="A272" s="101" t="s">
        <v>24</v>
      </c>
      <c r="B272" s="162"/>
      <c r="C272" s="4">
        <v>7</v>
      </c>
      <c r="D272" s="78">
        <f>IF('12'!E11="","",'12'!E11)</f>
        <v>46214</v>
      </c>
      <c r="E272" s="112"/>
    </row>
    <row r="273" spans="1:5" x14ac:dyDescent="0.25">
      <c r="A273" s="101" t="s">
        <v>24</v>
      </c>
      <c r="B273" s="162"/>
      <c r="C273" s="4">
        <v>8</v>
      </c>
      <c r="D273" s="78">
        <f>IF('12'!E12="","",'12'!E12)</f>
        <v>46227</v>
      </c>
      <c r="E273" s="111"/>
    </row>
    <row r="274" spans="1:5" x14ac:dyDescent="0.25">
      <c r="A274" s="101" t="s">
        <v>24</v>
      </c>
      <c r="B274" s="162"/>
      <c r="C274" s="4">
        <v>9</v>
      </c>
      <c r="D274" s="78">
        <f>IF('12'!E13="","",'12'!E13)</f>
        <v>46219</v>
      </c>
      <c r="E274" s="112"/>
    </row>
    <row r="275" spans="1:5" x14ac:dyDescent="0.25">
      <c r="A275" s="101" t="s">
        <v>24</v>
      </c>
      <c r="B275" s="162"/>
      <c r="C275" s="4">
        <v>10</v>
      </c>
      <c r="D275" s="78">
        <f>IF('12'!E14="","",'12'!E14)</f>
        <v>46225</v>
      </c>
      <c r="E275" s="111"/>
    </row>
    <row r="276" spans="1:5" x14ac:dyDescent="0.25">
      <c r="A276" s="101" t="s">
        <v>24</v>
      </c>
      <c r="B276" s="162"/>
      <c r="C276" s="4">
        <v>11</v>
      </c>
      <c r="D276" s="78">
        <f>IF('12'!E15="","",'12'!E15)</f>
        <v>46219</v>
      </c>
      <c r="E276" s="112"/>
    </row>
    <row r="277" spans="1:5" x14ac:dyDescent="0.25">
      <c r="A277" s="101" t="s">
        <v>24</v>
      </c>
      <c r="B277" s="162"/>
      <c r="C277" s="4">
        <v>12</v>
      </c>
      <c r="D277" s="78">
        <f>IF('12'!E16="","",'12'!E16)</f>
        <v>46224</v>
      </c>
      <c r="E277" s="111"/>
    </row>
    <row r="278" spans="1:5" x14ac:dyDescent="0.25">
      <c r="A278" s="101" t="s">
        <v>24</v>
      </c>
      <c r="B278" s="162"/>
      <c r="C278" s="4">
        <v>13</v>
      </c>
      <c r="D278" s="78">
        <f>IF('12'!E17="","",'12'!E17)</f>
        <v>46218</v>
      </c>
      <c r="E278" s="112"/>
    </row>
    <row r="279" spans="1:5" x14ac:dyDescent="0.25">
      <c r="A279" s="101" t="s">
        <v>24</v>
      </c>
      <c r="B279" s="162"/>
      <c r="C279" s="4">
        <v>14</v>
      </c>
      <c r="D279" s="78">
        <f>IF('12'!E18="","",'12'!E18)</f>
        <v>46228</v>
      </c>
      <c r="E279" s="111"/>
    </row>
    <row r="280" spans="1:5" x14ac:dyDescent="0.25">
      <c r="A280" s="101" t="s">
        <v>24</v>
      </c>
      <c r="B280" s="162"/>
      <c r="C280" s="4">
        <v>15</v>
      </c>
      <c r="D280" s="78">
        <f>IF('12'!E19="","",'12'!E19)</f>
        <v>46223</v>
      </c>
      <c r="E280" s="111"/>
    </row>
    <row r="281" spans="1:5" x14ac:dyDescent="0.25">
      <c r="A281" s="101" t="s">
        <v>24</v>
      </c>
      <c r="B281" s="162"/>
      <c r="C281" s="4">
        <v>16</v>
      </c>
      <c r="D281" s="78">
        <f>IF('12'!E20="","",'12'!E20)</f>
        <v>46226</v>
      </c>
      <c r="E281" s="111"/>
    </row>
    <row r="282" spans="1:5" x14ac:dyDescent="0.25">
      <c r="A282" s="101" t="s">
        <v>24</v>
      </c>
      <c r="B282" s="162"/>
      <c r="C282" s="4">
        <v>17</v>
      </c>
      <c r="D282" s="78">
        <f>IF('12'!E21="","",'12'!E21)</f>
        <v>46215</v>
      </c>
      <c r="E282" s="112"/>
    </row>
    <row r="283" spans="1:5" x14ac:dyDescent="0.25">
      <c r="A283" s="101" t="s">
        <v>24</v>
      </c>
      <c r="B283" s="162"/>
      <c r="C283" s="4">
        <v>18</v>
      </c>
      <c r="D283" s="78">
        <f>IF('12'!E22="","",'12'!E22)</f>
        <v>46227</v>
      </c>
      <c r="E283" s="111"/>
    </row>
    <row r="284" spans="1:5" hidden="1" x14ac:dyDescent="0.25">
      <c r="A284" s="101" t="s">
        <v>24</v>
      </c>
      <c r="B284" s="162"/>
      <c r="C284" s="4">
        <v>19</v>
      </c>
      <c r="D284" s="78">
        <f>IF('12'!E23="","",'12'!E23)</f>
        <v>46232</v>
      </c>
      <c r="E284" s="111"/>
    </row>
    <row r="285" spans="1:5" hidden="1" x14ac:dyDescent="0.25">
      <c r="A285" s="101" t="s">
        <v>24</v>
      </c>
      <c r="B285" s="162"/>
      <c r="C285" s="4">
        <v>20</v>
      </c>
      <c r="D285" s="78">
        <f>IF('12'!E24="","",'12'!E24)</f>
        <v>46235</v>
      </c>
      <c r="E285" s="111"/>
    </row>
    <row r="286" spans="1:5" hidden="1" x14ac:dyDescent="0.25">
      <c r="A286" s="101" t="s">
        <v>24</v>
      </c>
      <c r="B286" s="162"/>
      <c r="C286" s="4">
        <v>21</v>
      </c>
      <c r="D286" s="78">
        <f>IF('12'!E25="","",'12'!E25)</f>
        <v>46232</v>
      </c>
      <c r="E286" s="111"/>
    </row>
    <row r="287" spans="1:5" x14ac:dyDescent="0.25">
      <c r="A287" s="101" t="s">
        <v>24</v>
      </c>
      <c r="B287" s="162"/>
      <c r="C287" s="4">
        <v>22</v>
      </c>
      <c r="D287" s="78">
        <f>IF('12'!E26="","",'12'!E26)</f>
        <v>46224</v>
      </c>
      <c r="E287" s="111"/>
    </row>
    <row r="288" spans="1:5" x14ac:dyDescent="0.25">
      <c r="A288" s="101" t="s">
        <v>24</v>
      </c>
      <c r="B288" s="162"/>
      <c r="C288" s="4">
        <v>23</v>
      </c>
      <c r="D288" s="78">
        <f>IF('12'!E27="","",'12'!E27)</f>
        <v>46218</v>
      </c>
      <c r="E288" s="112"/>
    </row>
    <row r="289" spans="1:5" x14ac:dyDescent="0.25">
      <c r="A289" s="101" t="s">
        <v>24</v>
      </c>
      <c r="B289" s="163"/>
      <c r="C289" s="4">
        <v>24</v>
      </c>
      <c r="D289" s="78">
        <f>IF('12'!E28="","",'12'!E28)</f>
        <v>46226</v>
      </c>
      <c r="E289" s="111"/>
    </row>
    <row r="290" spans="1:5" hidden="1" x14ac:dyDescent="0.25">
      <c r="A290" s="102" t="s">
        <v>80</v>
      </c>
      <c r="B290" s="161" t="s">
        <v>80</v>
      </c>
      <c r="C290" s="4">
        <v>1</v>
      </c>
      <c r="D290" s="78">
        <f>IF('13'!E5="","",'13'!E5)</f>
        <v>46233</v>
      </c>
      <c r="E290" s="111"/>
    </row>
    <row r="291" spans="1:5" x14ac:dyDescent="0.25">
      <c r="A291" s="102" t="s">
        <v>80</v>
      </c>
      <c r="B291" s="162"/>
      <c r="C291" s="4">
        <v>2</v>
      </c>
      <c r="D291" s="78">
        <f>IF('13'!E6="","",'13'!E6)</f>
        <v>46217</v>
      </c>
      <c r="E291" s="112"/>
    </row>
    <row r="292" spans="1:5" x14ac:dyDescent="0.25">
      <c r="A292" s="102" t="s">
        <v>80</v>
      </c>
      <c r="B292" s="162"/>
      <c r="C292" s="4">
        <v>3</v>
      </c>
      <c r="D292" s="78">
        <f>IF('13'!E7="","",'13'!E7)</f>
        <v>46229</v>
      </c>
      <c r="E292" s="111"/>
    </row>
    <row r="293" spans="1:5" x14ac:dyDescent="0.25">
      <c r="A293" s="102" t="s">
        <v>80</v>
      </c>
      <c r="B293" s="162"/>
      <c r="C293" s="4">
        <v>4</v>
      </c>
      <c r="D293" s="78">
        <f>IF('13'!E8="","",'13'!E8)</f>
        <v>46213</v>
      </c>
      <c r="E293" s="112"/>
    </row>
    <row r="294" spans="1:5" x14ac:dyDescent="0.25">
      <c r="A294" s="102" t="s">
        <v>80</v>
      </c>
      <c r="B294" s="162"/>
      <c r="C294" s="4">
        <v>5</v>
      </c>
      <c r="D294" s="78">
        <f>IF('13'!E9="","",'13'!E9)</f>
        <v>46228</v>
      </c>
      <c r="E294" s="111"/>
    </row>
    <row r="295" spans="1:5" x14ac:dyDescent="0.25">
      <c r="A295" s="102" t="s">
        <v>80</v>
      </c>
      <c r="B295" s="162"/>
      <c r="C295" s="4">
        <v>6</v>
      </c>
      <c r="D295" s="78">
        <f>IF('13'!E10="","",'13'!E10)</f>
        <v>46213</v>
      </c>
      <c r="E295" s="112"/>
    </row>
    <row r="296" spans="1:5" x14ac:dyDescent="0.25">
      <c r="A296" s="102" t="s">
        <v>80</v>
      </c>
      <c r="B296" s="162"/>
      <c r="C296" s="4">
        <v>7</v>
      </c>
      <c r="D296" s="78">
        <f>IF('13'!E11="","",'13'!E11)</f>
        <v>46227</v>
      </c>
      <c r="E296" s="111"/>
    </row>
    <row r="297" spans="1:5" x14ac:dyDescent="0.25">
      <c r="A297" s="102" t="s">
        <v>80</v>
      </c>
      <c r="B297" s="162"/>
      <c r="C297" s="4">
        <v>8</v>
      </c>
      <c r="D297" s="78">
        <f>IF('13'!E12="","",'13'!E12)</f>
        <v>46215</v>
      </c>
      <c r="E297" s="112"/>
    </row>
    <row r="298" spans="1:5" x14ac:dyDescent="0.25">
      <c r="A298" s="102" t="s">
        <v>80</v>
      </c>
      <c r="B298" s="162"/>
      <c r="C298" s="4">
        <v>9</v>
      </c>
      <c r="D298" s="78">
        <f>IF('13'!E13="","",'13'!E13)</f>
        <v>46229</v>
      </c>
      <c r="E298" s="111"/>
    </row>
    <row r="299" spans="1:5" x14ac:dyDescent="0.25">
      <c r="A299" s="102" t="s">
        <v>80</v>
      </c>
      <c r="B299" s="162"/>
      <c r="C299" s="4">
        <v>10</v>
      </c>
      <c r="D299" s="78">
        <f>IF('13'!E14="","",'13'!E14)</f>
        <v>46218</v>
      </c>
      <c r="E299" s="112"/>
    </row>
    <row r="300" spans="1:5" x14ac:dyDescent="0.25">
      <c r="A300" s="102" t="s">
        <v>80</v>
      </c>
      <c r="B300" s="162"/>
      <c r="C300" s="4">
        <v>11</v>
      </c>
      <c r="D300" s="78">
        <f>IF('13'!E15="","",'13'!E15)</f>
        <v>46214</v>
      </c>
      <c r="E300" s="112"/>
    </row>
    <row r="301" spans="1:5" x14ac:dyDescent="0.25">
      <c r="A301" s="102" t="s">
        <v>80</v>
      </c>
      <c r="B301" s="162"/>
      <c r="C301" s="4">
        <v>12</v>
      </c>
      <c r="D301" s="78">
        <f>IF('13'!E16="","",'13'!E16)</f>
        <v>46217</v>
      </c>
      <c r="E301" s="112"/>
    </row>
    <row r="302" spans="1:5" x14ac:dyDescent="0.25">
      <c r="A302" s="102" t="s">
        <v>80</v>
      </c>
      <c r="B302" s="162"/>
      <c r="C302" s="4">
        <v>13</v>
      </c>
      <c r="D302" s="78">
        <f>IF('13'!E17="","",'13'!E17)</f>
        <v>46231</v>
      </c>
      <c r="E302" s="111"/>
    </row>
    <row r="303" spans="1:5" x14ac:dyDescent="0.25">
      <c r="A303" s="102" t="s">
        <v>80</v>
      </c>
      <c r="B303" s="162"/>
      <c r="C303" s="4">
        <v>14</v>
      </c>
      <c r="D303" s="78">
        <f>IF('13'!E18="","",'13'!E18)</f>
        <v>46228</v>
      </c>
      <c r="E303" s="111"/>
    </row>
    <row r="304" spans="1:5" hidden="1" x14ac:dyDescent="0.25">
      <c r="A304" s="102" t="s">
        <v>80</v>
      </c>
      <c r="B304" s="162"/>
      <c r="C304" s="4">
        <v>15</v>
      </c>
      <c r="D304" s="78">
        <f>IF('13'!E19="","",'13'!E19)</f>
        <v>46231</v>
      </c>
      <c r="E304" s="111"/>
    </row>
    <row r="305" spans="1:5" hidden="1" x14ac:dyDescent="0.25">
      <c r="A305" s="102" t="s">
        <v>80</v>
      </c>
      <c r="B305" s="162"/>
      <c r="C305" s="4">
        <v>16</v>
      </c>
      <c r="D305" s="78">
        <f>IF('13'!E20="","",'13'!E20)</f>
        <v>46232</v>
      </c>
      <c r="E305" s="111"/>
    </row>
    <row r="306" spans="1:5" x14ac:dyDescent="0.25">
      <c r="A306" s="102" t="s">
        <v>80</v>
      </c>
      <c r="B306" s="162"/>
      <c r="C306" s="4">
        <v>17</v>
      </c>
      <c r="D306" s="78">
        <f>IF('13'!E21="","",'13'!E21)</f>
        <v>46230</v>
      </c>
      <c r="E306" s="111"/>
    </row>
    <row r="307" spans="1:5" hidden="1" x14ac:dyDescent="0.25">
      <c r="A307" s="102" t="s">
        <v>80</v>
      </c>
      <c r="B307" s="162"/>
      <c r="C307" s="4">
        <v>18</v>
      </c>
      <c r="D307" s="78">
        <f>IF('13'!E22="","",'13'!E22)</f>
        <v>46231</v>
      </c>
      <c r="E307" s="111"/>
    </row>
    <row r="308" spans="1:5" hidden="1" x14ac:dyDescent="0.25">
      <c r="A308" s="102" t="s">
        <v>80</v>
      </c>
      <c r="B308" s="162"/>
      <c r="C308" s="4">
        <v>19</v>
      </c>
      <c r="D308" s="78">
        <f>IF('13'!E23="","",'13'!E23)</f>
        <v>46232</v>
      </c>
      <c r="E308" s="111"/>
    </row>
    <row r="309" spans="1:5" hidden="1" x14ac:dyDescent="0.25">
      <c r="A309" s="102" t="s">
        <v>80</v>
      </c>
      <c r="B309" s="162"/>
      <c r="C309" s="4">
        <v>20</v>
      </c>
      <c r="D309" s="78">
        <f>IF('13'!E24="","",'13'!E24)</f>
        <v>46232</v>
      </c>
      <c r="E309" s="111"/>
    </row>
    <row r="310" spans="1:5" hidden="1" x14ac:dyDescent="0.25">
      <c r="A310" s="102" t="s">
        <v>80</v>
      </c>
      <c r="B310" s="162"/>
      <c r="C310" s="4">
        <v>21</v>
      </c>
      <c r="D310" s="78">
        <f>IF('13'!E25="","",'13'!E25)</f>
        <v>46233</v>
      </c>
      <c r="E310" s="111"/>
    </row>
    <row r="311" spans="1:5" hidden="1" x14ac:dyDescent="0.25">
      <c r="A311" s="102" t="s">
        <v>80</v>
      </c>
      <c r="B311" s="162"/>
      <c r="C311" s="4">
        <v>22</v>
      </c>
      <c r="D311" s="78">
        <f>IF('13'!E26="","",'13'!E26)</f>
        <v>46233</v>
      </c>
      <c r="E311" s="111"/>
    </row>
    <row r="312" spans="1:5" x14ac:dyDescent="0.25">
      <c r="A312" s="102" t="s">
        <v>80</v>
      </c>
      <c r="B312" s="162"/>
      <c r="C312" s="4">
        <v>23</v>
      </c>
      <c r="D312" s="78">
        <f>IF('13'!E27="","",'13'!E27)</f>
        <v>46230</v>
      </c>
      <c r="E312" s="111"/>
    </row>
    <row r="313" spans="1:5" hidden="1" x14ac:dyDescent="0.25">
      <c r="A313" s="102" t="s">
        <v>80</v>
      </c>
      <c r="B313" s="163"/>
      <c r="C313" s="4">
        <v>24</v>
      </c>
      <c r="D313" s="78">
        <f>IF('13'!E28="","",'13'!E28)</f>
        <v>46231</v>
      </c>
      <c r="E313" s="111"/>
    </row>
    <row r="314" spans="1:5" x14ac:dyDescent="0.25">
      <c r="A314" s="103" t="s">
        <v>25</v>
      </c>
      <c r="B314" s="161" t="s">
        <v>25</v>
      </c>
      <c r="C314" s="4">
        <v>1</v>
      </c>
      <c r="D314" s="78">
        <f>IF('14'!E5="","",'14'!E5)</f>
        <v>46213</v>
      </c>
      <c r="E314" s="112"/>
    </row>
    <row r="315" spans="1:5" x14ac:dyDescent="0.25">
      <c r="A315" s="103" t="s">
        <v>25</v>
      </c>
      <c r="B315" s="162"/>
      <c r="C315" s="4">
        <v>2</v>
      </c>
      <c r="D315" s="78">
        <f>IF('14'!E6="","",'14'!E6)</f>
        <v>46224</v>
      </c>
      <c r="E315" s="111"/>
    </row>
    <row r="316" spans="1:5" x14ac:dyDescent="0.25">
      <c r="A316" s="103" t="s">
        <v>25</v>
      </c>
      <c r="B316" s="162"/>
      <c r="C316" s="4">
        <v>3</v>
      </c>
      <c r="D316" s="78">
        <f>IF('14'!E7="","",'14'!E7)</f>
        <v>46228</v>
      </c>
      <c r="E316" s="111"/>
    </row>
    <row r="317" spans="1:5" x14ac:dyDescent="0.25">
      <c r="A317" s="103" t="s">
        <v>25</v>
      </c>
      <c r="B317" s="162"/>
      <c r="C317" s="4">
        <v>4</v>
      </c>
      <c r="D317" s="78">
        <f>IF('14'!E8="","",'14'!E8)</f>
        <v>46225</v>
      </c>
      <c r="E317" s="111"/>
    </row>
    <row r="318" spans="1:5" x14ac:dyDescent="0.25">
      <c r="A318" s="103" t="s">
        <v>25</v>
      </c>
      <c r="B318" s="162"/>
      <c r="C318" s="4">
        <v>5</v>
      </c>
      <c r="D318" s="78">
        <f>IF('14'!E9="","",'14'!E9)</f>
        <v>46219</v>
      </c>
      <c r="E318" s="112"/>
    </row>
    <row r="319" spans="1:5" x14ac:dyDescent="0.25">
      <c r="A319" s="103" t="s">
        <v>25</v>
      </c>
      <c r="B319" s="162"/>
      <c r="C319" s="4">
        <v>6</v>
      </c>
      <c r="D319" s="78">
        <f>IF('14'!E10="","",'14'!E10)</f>
        <v>46214</v>
      </c>
      <c r="E319" s="112"/>
    </row>
    <row r="320" spans="1:5" x14ac:dyDescent="0.25">
      <c r="A320" s="103" t="s">
        <v>25</v>
      </c>
      <c r="B320" s="162"/>
      <c r="C320" s="4">
        <v>7</v>
      </c>
      <c r="D320" s="78">
        <f>IF('14'!E11="","",'14'!E11)</f>
        <v>46212</v>
      </c>
      <c r="E320" s="112"/>
    </row>
    <row r="321" spans="1:5" x14ac:dyDescent="0.25">
      <c r="A321" s="103" t="s">
        <v>25</v>
      </c>
      <c r="B321" s="162"/>
      <c r="C321" s="4">
        <v>8</v>
      </c>
      <c r="D321" s="78">
        <f>IF('14'!E12="","",'14'!E12)</f>
        <v>46214</v>
      </c>
      <c r="E321" s="112"/>
    </row>
    <row r="322" spans="1:5" x14ac:dyDescent="0.25">
      <c r="A322" s="103" t="s">
        <v>25</v>
      </c>
      <c r="B322" s="162"/>
      <c r="C322" s="4">
        <v>9</v>
      </c>
      <c r="D322" s="78">
        <f>IF('14'!E13="","",'14'!E13)</f>
        <v>46226</v>
      </c>
      <c r="E322" s="111"/>
    </row>
    <row r="323" spans="1:5" x14ac:dyDescent="0.25">
      <c r="A323" s="103" t="s">
        <v>25</v>
      </c>
      <c r="B323" s="162"/>
      <c r="C323" s="4">
        <v>10</v>
      </c>
      <c r="D323" s="78">
        <f>IF('14'!E14="","",'14'!E14)</f>
        <v>46227</v>
      </c>
      <c r="E323" s="111"/>
    </row>
    <row r="324" spans="1:5" x14ac:dyDescent="0.25">
      <c r="A324" s="103" t="s">
        <v>25</v>
      </c>
      <c r="B324" s="162"/>
      <c r="C324" s="4">
        <v>11</v>
      </c>
      <c r="D324" s="78">
        <f>IF('14'!E15="","",'14'!E15)</f>
        <v>46228</v>
      </c>
      <c r="E324" s="111"/>
    </row>
    <row r="325" spans="1:5" x14ac:dyDescent="0.25">
      <c r="A325" s="103" t="s">
        <v>25</v>
      </c>
      <c r="B325" s="162"/>
      <c r="C325" s="4">
        <v>12</v>
      </c>
      <c r="D325" s="78">
        <f>IF('14'!E16="","",'14'!E16)</f>
        <v>46235</v>
      </c>
      <c r="E325" s="112"/>
    </row>
    <row r="326" spans="1:5" x14ac:dyDescent="0.25">
      <c r="A326" s="103" t="s">
        <v>25</v>
      </c>
      <c r="B326" s="162"/>
      <c r="C326" s="4">
        <v>13</v>
      </c>
      <c r="D326" s="78">
        <f>IF('14'!E17="","",'14'!E17)</f>
        <v>46213</v>
      </c>
      <c r="E326" s="112"/>
    </row>
    <row r="327" spans="1:5" hidden="1" x14ac:dyDescent="0.25">
      <c r="A327" s="103" t="s">
        <v>25</v>
      </c>
      <c r="B327" s="162"/>
      <c r="C327" s="4">
        <v>14</v>
      </c>
      <c r="D327" s="78">
        <f>IF('14'!E18="","",'14'!E18)</f>
        <v>46234</v>
      </c>
      <c r="E327" s="111"/>
    </row>
    <row r="328" spans="1:5" hidden="1" x14ac:dyDescent="0.25">
      <c r="A328" s="103" t="s">
        <v>25</v>
      </c>
      <c r="B328" s="162"/>
      <c r="C328" s="4">
        <v>15</v>
      </c>
      <c r="D328" s="78">
        <f>IF('14'!E19="","",'14'!E19)</f>
        <v>46233</v>
      </c>
      <c r="E328" s="111"/>
    </row>
    <row r="329" spans="1:5" x14ac:dyDescent="0.25">
      <c r="A329" s="103" t="s">
        <v>25</v>
      </c>
      <c r="B329" s="162"/>
      <c r="C329" s="4">
        <v>16</v>
      </c>
      <c r="D329" s="78">
        <f>IF('14'!E20="","",'14'!E20)</f>
        <v>46226</v>
      </c>
      <c r="E329" s="111"/>
    </row>
    <row r="330" spans="1:5" x14ac:dyDescent="0.25">
      <c r="A330" s="103" t="s">
        <v>25</v>
      </c>
      <c r="B330" s="162"/>
      <c r="C330" s="4">
        <v>17</v>
      </c>
      <c r="D330" s="78">
        <f>IF('14'!E21="","",'14'!E21)</f>
        <v>46227</v>
      </c>
      <c r="E330" s="111"/>
    </row>
    <row r="331" spans="1:5" x14ac:dyDescent="0.25">
      <c r="A331" s="103" t="s">
        <v>25</v>
      </c>
      <c r="B331" s="162"/>
      <c r="C331" s="4">
        <v>18</v>
      </c>
      <c r="D331" s="78">
        <f>IF('14'!E22="","",'14'!E22)</f>
        <v>46225</v>
      </c>
      <c r="E331" s="111"/>
    </row>
    <row r="332" spans="1:5" hidden="1" x14ac:dyDescent="0.25">
      <c r="A332" s="103" t="s">
        <v>25</v>
      </c>
      <c r="B332" s="162"/>
      <c r="C332" s="4">
        <v>19</v>
      </c>
      <c r="D332" s="78">
        <f>IF('14'!E23="","",'14'!E23)</f>
        <v>46234</v>
      </c>
      <c r="E332" s="111"/>
    </row>
    <row r="333" spans="1:5" x14ac:dyDescent="0.25">
      <c r="A333" s="103" t="s">
        <v>25</v>
      </c>
      <c r="B333" s="162"/>
      <c r="C333" s="4">
        <v>20</v>
      </c>
      <c r="D333" s="78">
        <f>IF('14'!E24="","",'14'!E24)</f>
        <v>46229</v>
      </c>
      <c r="E333" s="111"/>
    </row>
    <row r="334" spans="1:5" x14ac:dyDescent="0.25">
      <c r="A334" s="103" t="s">
        <v>25</v>
      </c>
      <c r="B334" s="162"/>
      <c r="C334" s="4">
        <v>21</v>
      </c>
      <c r="D334" s="78">
        <f>IF('14'!E25="","",'14'!E25)</f>
        <v>46230</v>
      </c>
      <c r="E334" s="111"/>
    </row>
    <row r="335" spans="1:5" x14ac:dyDescent="0.25">
      <c r="A335" s="103" t="s">
        <v>25</v>
      </c>
      <c r="B335" s="162"/>
      <c r="C335" s="4">
        <v>22</v>
      </c>
      <c r="D335" s="78">
        <f>IF('14'!E26="","",'14'!E26)</f>
        <v>46229</v>
      </c>
      <c r="E335" s="111"/>
    </row>
    <row r="336" spans="1:5" x14ac:dyDescent="0.25">
      <c r="A336" s="103" t="s">
        <v>25</v>
      </c>
      <c r="B336" s="162"/>
      <c r="C336" s="4">
        <v>23</v>
      </c>
      <c r="D336" s="78">
        <f>IF('14'!E27="","",'14'!E27)</f>
        <v>46225</v>
      </c>
      <c r="E336" s="111"/>
    </row>
    <row r="337" spans="1:5" x14ac:dyDescent="0.25">
      <c r="A337" s="103" t="s">
        <v>25</v>
      </c>
      <c r="B337" s="163"/>
      <c r="C337" s="4">
        <v>24</v>
      </c>
      <c r="D337" s="78">
        <f>IF('14'!E28="","",'14'!E28)</f>
        <v>46224</v>
      </c>
      <c r="E337" s="111"/>
    </row>
    <row r="338" spans="1:5" x14ac:dyDescent="0.25">
      <c r="A338" s="104" t="s">
        <v>8</v>
      </c>
      <c r="B338" s="161" t="s">
        <v>8</v>
      </c>
      <c r="C338" s="4">
        <v>1</v>
      </c>
      <c r="D338" s="78">
        <f>IF('15'!E5="","",'15'!E5)</f>
        <v>46225</v>
      </c>
      <c r="E338" s="111"/>
    </row>
    <row r="339" spans="1:5" x14ac:dyDescent="0.25">
      <c r="A339" s="104" t="s">
        <v>8</v>
      </c>
      <c r="B339" s="162"/>
      <c r="C339" s="4">
        <v>2</v>
      </c>
      <c r="D339" s="78">
        <f>IF('15'!E6="","",'15'!E6)</f>
        <v>46226</v>
      </c>
      <c r="E339" s="111"/>
    </row>
    <row r="340" spans="1:5" x14ac:dyDescent="0.25">
      <c r="A340" s="104" t="s">
        <v>8</v>
      </c>
      <c r="B340" s="162"/>
      <c r="C340" s="4">
        <v>3</v>
      </c>
      <c r="D340" s="78">
        <f>IF('15'!E7="","",'15'!E7)</f>
        <v>46224</v>
      </c>
      <c r="E340" s="111"/>
    </row>
    <row r="341" spans="1:5" x14ac:dyDescent="0.25">
      <c r="A341" s="104" t="s">
        <v>8</v>
      </c>
      <c r="B341" s="162"/>
      <c r="C341" s="4">
        <v>4</v>
      </c>
      <c r="D341" s="78">
        <f>IF('15'!E8="","",'15'!E8)</f>
        <v>46222</v>
      </c>
      <c r="E341" s="112"/>
    </row>
    <row r="342" spans="1:5" x14ac:dyDescent="0.25">
      <c r="A342" s="104" t="s">
        <v>8</v>
      </c>
      <c r="B342" s="162"/>
      <c r="C342" s="4">
        <v>5</v>
      </c>
      <c r="D342" s="78">
        <f>IF('15'!E9="","",'15'!E9)</f>
        <v>46224</v>
      </c>
      <c r="E342" s="111"/>
    </row>
    <row r="343" spans="1:5" x14ac:dyDescent="0.25">
      <c r="A343" s="104" t="s">
        <v>8</v>
      </c>
      <c r="B343" s="162"/>
      <c r="C343" s="4">
        <v>6</v>
      </c>
      <c r="D343" s="78">
        <f>IF('15'!E10="","",'15'!E10)</f>
        <v>46221</v>
      </c>
      <c r="E343" s="112"/>
    </row>
    <row r="344" spans="1:5" x14ac:dyDescent="0.25">
      <c r="A344" s="104" t="s">
        <v>8</v>
      </c>
      <c r="B344" s="162"/>
      <c r="C344" s="4">
        <v>7</v>
      </c>
      <c r="D344" s="78">
        <f>IF('15'!E11="","",'15'!E11)</f>
        <v>46224</v>
      </c>
      <c r="E344" s="111"/>
    </row>
    <row r="345" spans="1:5" x14ac:dyDescent="0.25">
      <c r="A345" s="104" t="s">
        <v>8</v>
      </c>
      <c r="B345" s="162"/>
      <c r="C345" s="4">
        <v>8</v>
      </c>
      <c r="D345" s="78">
        <f>IF('15'!E12="","",'15'!E12)</f>
        <v>46220</v>
      </c>
      <c r="E345" s="112"/>
    </row>
    <row r="346" spans="1:5" x14ac:dyDescent="0.25">
      <c r="A346" s="104" t="s">
        <v>8</v>
      </c>
      <c r="B346" s="162"/>
      <c r="C346" s="4">
        <v>9</v>
      </c>
      <c r="D346" s="78">
        <f>IF('15'!E13="","",'15'!E13)</f>
        <v>46216</v>
      </c>
      <c r="E346" s="112"/>
    </row>
    <row r="347" spans="1:5" x14ac:dyDescent="0.25">
      <c r="A347" s="104" t="s">
        <v>8</v>
      </c>
      <c r="B347" s="162"/>
      <c r="C347" s="4">
        <v>10</v>
      </c>
      <c r="D347" s="78">
        <f>IF('15'!E14="","",'15'!E14)</f>
        <v>46219</v>
      </c>
      <c r="E347" s="112"/>
    </row>
    <row r="348" spans="1:5" x14ac:dyDescent="0.25">
      <c r="A348" s="104" t="s">
        <v>8</v>
      </c>
      <c r="B348" s="162"/>
      <c r="C348" s="4">
        <v>11</v>
      </c>
      <c r="D348" s="78">
        <f>IF('15'!E15="","",'15'!E15)</f>
        <v>46217</v>
      </c>
      <c r="E348" s="112"/>
    </row>
    <row r="349" spans="1:5" x14ac:dyDescent="0.25">
      <c r="A349" s="104" t="s">
        <v>8</v>
      </c>
      <c r="B349" s="162"/>
      <c r="C349" s="4">
        <v>12</v>
      </c>
      <c r="D349" s="78">
        <f>IF('15'!E16="","",'15'!E16)</f>
        <v>46223</v>
      </c>
      <c r="E349" s="89"/>
    </row>
    <row r="350" spans="1:5" x14ac:dyDescent="0.25">
      <c r="A350" s="104" t="s">
        <v>8</v>
      </c>
      <c r="B350" s="162"/>
      <c r="C350" s="4">
        <v>13</v>
      </c>
      <c r="D350" s="78">
        <f>IF('15'!E17="","",'15'!E17)</f>
        <v>46219</v>
      </c>
      <c r="E350" s="89"/>
    </row>
    <row r="351" spans="1:5" x14ac:dyDescent="0.25">
      <c r="A351" s="104" t="s">
        <v>8</v>
      </c>
      <c r="B351" s="162"/>
      <c r="C351" s="4">
        <v>14</v>
      </c>
      <c r="D351" s="78">
        <f>IF('15'!E18="","",'15'!E18)</f>
        <v>46223</v>
      </c>
      <c r="E351" s="89"/>
    </row>
    <row r="352" spans="1:5" x14ac:dyDescent="0.25">
      <c r="A352" s="104" t="s">
        <v>8</v>
      </c>
      <c r="B352" s="162"/>
      <c r="C352" s="4">
        <v>15</v>
      </c>
      <c r="D352" s="78">
        <f>IF('15'!E19="","",'15'!E19)</f>
        <v>46225</v>
      </c>
      <c r="E352" s="85"/>
    </row>
    <row r="353" spans="1:5" x14ac:dyDescent="0.25">
      <c r="A353" s="104" t="s">
        <v>8</v>
      </c>
      <c r="B353" s="162"/>
      <c r="C353" s="4">
        <v>16</v>
      </c>
      <c r="D353" s="78">
        <f>IF('15'!E20="","",'15'!E20)</f>
        <v>46227</v>
      </c>
      <c r="E353" s="85"/>
    </row>
    <row r="354" spans="1:5" x14ac:dyDescent="0.25">
      <c r="A354" s="104" t="s">
        <v>8</v>
      </c>
      <c r="B354" s="162"/>
      <c r="C354" s="4">
        <v>17</v>
      </c>
      <c r="D354" s="78">
        <f>IF('15'!E21="","",'15'!E21)</f>
        <v>46225</v>
      </c>
      <c r="E354" s="85"/>
    </row>
    <row r="355" spans="1:5" x14ac:dyDescent="0.25">
      <c r="A355" s="104" t="s">
        <v>8</v>
      </c>
      <c r="B355" s="162"/>
      <c r="C355" s="4">
        <v>18</v>
      </c>
      <c r="D355" s="78">
        <f>IF('15'!E22="","",'15'!E22)</f>
        <v>46227</v>
      </c>
      <c r="E355" s="85"/>
    </row>
    <row r="356" spans="1:5" x14ac:dyDescent="0.25">
      <c r="A356" s="104" t="s">
        <v>8</v>
      </c>
      <c r="B356" s="162"/>
      <c r="C356" s="4">
        <v>19</v>
      </c>
      <c r="D356" s="78">
        <f>IF('15'!E23="","",'15'!E23)</f>
        <v>46228</v>
      </c>
      <c r="E356" s="85"/>
    </row>
    <row r="357" spans="1:5" x14ac:dyDescent="0.25">
      <c r="A357" s="104" t="s">
        <v>8</v>
      </c>
      <c r="B357" s="162"/>
      <c r="C357" s="4">
        <v>20</v>
      </c>
      <c r="D357" s="78">
        <f>IF('15'!E24="","",'15'!E24)</f>
        <v>46229</v>
      </c>
      <c r="E357" s="85"/>
    </row>
    <row r="358" spans="1:5" x14ac:dyDescent="0.25">
      <c r="A358" s="104" t="s">
        <v>8</v>
      </c>
      <c r="B358" s="162"/>
      <c r="C358" s="4">
        <v>21</v>
      </c>
      <c r="D358" s="78">
        <f>IF('15'!E25="","",'15'!E25)</f>
        <v>46229</v>
      </c>
      <c r="E358" s="85"/>
    </row>
    <row r="359" spans="1:5" x14ac:dyDescent="0.25">
      <c r="A359" s="104" t="s">
        <v>8</v>
      </c>
      <c r="B359" s="162"/>
      <c r="C359" s="4">
        <v>22</v>
      </c>
      <c r="D359" s="78">
        <f>IF('15'!E26="","",'15'!E26)</f>
        <v>46228</v>
      </c>
      <c r="E359" s="85"/>
    </row>
    <row r="360" spans="1:5" x14ac:dyDescent="0.25">
      <c r="A360" s="104" t="s">
        <v>8</v>
      </c>
      <c r="B360" s="162"/>
      <c r="C360" s="4">
        <v>23</v>
      </c>
      <c r="D360" s="78">
        <f>IF('15'!E27="","",'15'!E27)</f>
        <v>46227</v>
      </c>
      <c r="E360" s="85"/>
    </row>
    <row r="361" spans="1:5" x14ac:dyDescent="0.25">
      <c r="A361" s="104" t="s">
        <v>8</v>
      </c>
      <c r="B361" s="163"/>
      <c r="C361" s="4">
        <v>24</v>
      </c>
      <c r="D361" s="78">
        <f>IF('15'!E28="","",'15'!E28)</f>
        <v>46226</v>
      </c>
      <c r="E361" s="85"/>
    </row>
    <row r="362" spans="1:5" hidden="1" x14ac:dyDescent="0.25">
      <c r="A362" s="105" t="s">
        <v>26</v>
      </c>
      <c r="B362" s="161" t="s">
        <v>26</v>
      </c>
      <c r="C362" s="4">
        <v>1</v>
      </c>
      <c r="D362" s="78">
        <f>IF('16'!E5="","",'16'!E5)</f>
        <v>46239</v>
      </c>
      <c r="E362" s="85"/>
    </row>
    <row r="363" spans="1:5" hidden="1" x14ac:dyDescent="0.25">
      <c r="A363" s="105" t="s">
        <v>26</v>
      </c>
      <c r="B363" s="162"/>
      <c r="C363" s="4">
        <v>2</v>
      </c>
      <c r="D363" s="78">
        <f>IF('16'!E6="","",'16'!E6)</f>
        <v>46240</v>
      </c>
      <c r="E363" s="85"/>
    </row>
    <row r="364" spans="1:5" hidden="1" x14ac:dyDescent="0.25">
      <c r="A364" s="105" t="s">
        <v>26</v>
      </c>
      <c r="B364" s="162"/>
      <c r="C364" s="4">
        <v>3</v>
      </c>
      <c r="D364" s="78">
        <f>IF('16'!E7="","",'16'!E7)</f>
        <v>46239</v>
      </c>
      <c r="E364" s="85"/>
    </row>
    <row r="365" spans="1:5" hidden="1" x14ac:dyDescent="0.25">
      <c r="A365" s="105" t="s">
        <v>26</v>
      </c>
      <c r="B365" s="162"/>
      <c r="C365" s="4">
        <v>4</v>
      </c>
      <c r="D365" s="78">
        <f>IF('16'!E8="","",'16'!E8)</f>
        <v>46238</v>
      </c>
      <c r="E365" s="85"/>
    </row>
    <row r="366" spans="1:5" hidden="1" x14ac:dyDescent="0.25">
      <c r="A366" s="105" t="s">
        <v>26</v>
      </c>
      <c r="B366" s="162"/>
      <c r="C366" s="4">
        <v>5</v>
      </c>
      <c r="D366" s="78">
        <f>IF('16'!E9="","",'16'!E9)</f>
        <v>46237</v>
      </c>
      <c r="E366" s="85"/>
    </row>
    <row r="367" spans="1:5" hidden="1" x14ac:dyDescent="0.25">
      <c r="A367" s="105" t="s">
        <v>26</v>
      </c>
      <c r="B367" s="162"/>
      <c r="C367" s="4">
        <v>6</v>
      </c>
      <c r="D367" s="78">
        <f>IF('16'!E10="","",'16'!E10)</f>
        <v>46239</v>
      </c>
      <c r="E367" s="85"/>
    </row>
    <row r="368" spans="1:5" hidden="1" x14ac:dyDescent="0.25">
      <c r="A368" s="105" t="s">
        <v>26</v>
      </c>
      <c r="B368" s="162"/>
      <c r="C368" s="4">
        <v>7</v>
      </c>
      <c r="D368" s="78">
        <f>IF('16'!E11="","",'16'!E11)</f>
        <v>46237</v>
      </c>
      <c r="E368" s="85"/>
    </row>
    <row r="369" spans="1:5" hidden="1" x14ac:dyDescent="0.25">
      <c r="A369" s="105" t="s">
        <v>26</v>
      </c>
      <c r="B369" s="162"/>
      <c r="C369" s="4">
        <v>8</v>
      </c>
      <c r="D369" s="78">
        <f>IF('16'!E12="","",'16'!E12)</f>
        <v>46238</v>
      </c>
      <c r="E369" s="85"/>
    </row>
    <row r="370" spans="1:5" hidden="1" x14ac:dyDescent="0.25">
      <c r="A370" s="105" t="s">
        <v>26</v>
      </c>
      <c r="B370" s="162"/>
      <c r="C370" s="4">
        <v>9</v>
      </c>
      <c r="D370" s="78">
        <f>IF('16'!E13="","",'16'!E13)</f>
        <v>46236</v>
      </c>
      <c r="E370" s="85"/>
    </row>
    <row r="371" spans="1:5" hidden="1" x14ac:dyDescent="0.25">
      <c r="A371" s="105" t="s">
        <v>26</v>
      </c>
      <c r="B371" s="162"/>
      <c r="C371" s="4">
        <v>10</v>
      </c>
      <c r="D371" s="78">
        <f>IF('16'!E14="","",'16'!E14)</f>
        <v>46232</v>
      </c>
      <c r="E371" s="85"/>
    </row>
    <row r="372" spans="1:5" x14ac:dyDescent="0.25">
      <c r="A372" s="105" t="s">
        <v>26</v>
      </c>
      <c r="B372" s="162"/>
      <c r="C372" s="4">
        <v>11</v>
      </c>
      <c r="D372" s="78">
        <f>IF('16'!E15="","",'16'!E15)</f>
        <v>46231</v>
      </c>
      <c r="E372" s="85"/>
    </row>
    <row r="373" spans="1:5" hidden="1" x14ac:dyDescent="0.25">
      <c r="A373" s="105" t="s">
        <v>26</v>
      </c>
      <c r="B373" s="162"/>
      <c r="C373" s="4">
        <v>12</v>
      </c>
      <c r="D373" s="78">
        <f>IF('16'!E16="","",'16'!E16)</f>
        <v>46234</v>
      </c>
      <c r="E373" s="85"/>
    </row>
    <row r="374" spans="1:5" x14ac:dyDescent="0.25">
      <c r="A374" s="105" t="s">
        <v>26</v>
      </c>
      <c r="B374" s="162"/>
      <c r="C374" s="4">
        <v>13</v>
      </c>
      <c r="D374" s="78">
        <f>IF('16'!E17="","",'16'!E17)</f>
        <v>46230</v>
      </c>
      <c r="E374" s="85"/>
    </row>
    <row r="375" spans="1:5" x14ac:dyDescent="0.25">
      <c r="A375" s="105" t="s">
        <v>26</v>
      </c>
      <c r="B375" s="162"/>
      <c r="C375" s="4">
        <v>14</v>
      </c>
      <c r="D375" s="78">
        <f>IF('16'!E18="","",'16'!E18)</f>
        <v>46231</v>
      </c>
      <c r="E375" s="85"/>
    </row>
    <row r="376" spans="1:5" x14ac:dyDescent="0.25">
      <c r="A376" s="105" t="s">
        <v>26</v>
      </c>
      <c r="B376" s="162"/>
      <c r="C376" s="4">
        <v>15</v>
      </c>
      <c r="D376" s="78">
        <f>IF('16'!E19="","",'16'!E19)</f>
        <v>46230</v>
      </c>
      <c r="E376" s="85"/>
    </row>
    <row r="377" spans="1:5" hidden="1" x14ac:dyDescent="0.25">
      <c r="A377" s="105" t="s">
        <v>26</v>
      </c>
      <c r="B377" s="162"/>
      <c r="C377" s="4">
        <v>16</v>
      </c>
      <c r="D377" s="78">
        <f>IF('16'!E20="","",'16'!E20)</f>
        <v>46232</v>
      </c>
      <c r="E377" s="85"/>
    </row>
    <row r="378" spans="1:5" hidden="1" x14ac:dyDescent="0.25">
      <c r="A378" s="105" t="s">
        <v>26</v>
      </c>
      <c r="B378" s="162"/>
      <c r="C378" s="4">
        <v>17</v>
      </c>
      <c r="D378" s="78">
        <f>IF('16'!E21="","",'16'!E21)</f>
        <v>46233</v>
      </c>
      <c r="E378" s="85"/>
    </row>
    <row r="379" spans="1:5" hidden="1" x14ac:dyDescent="0.25">
      <c r="A379" s="105" t="s">
        <v>26</v>
      </c>
      <c r="B379" s="162"/>
      <c r="C379" s="4">
        <v>18</v>
      </c>
      <c r="D379" s="78">
        <f>IF('16'!E22="","",'16'!E22)</f>
        <v>46235</v>
      </c>
      <c r="E379" s="85"/>
    </row>
    <row r="380" spans="1:5" hidden="1" x14ac:dyDescent="0.25">
      <c r="A380" s="105" t="s">
        <v>26</v>
      </c>
      <c r="B380" s="162"/>
      <c r="C380" s="4">
        <v>19</v>
      </c>
      <c r="D380" s="78">
        <f>IF('16'!E23="","",'16'!E23)</f>
        <v>46233</v>
      </c>
      <c r="E380" s="85"/>
    </row>
    <row r="381" spans="1:5" hidden="1" x14ac:dyDescent="0.25">
      <c r="A381" s="105" t="s">
        <v>26</v>
      </c>
      <c r="B381" s="162"/>
      <c r="C381" s="4">
        <v>20</v>
      </c>
      <c r="D381" s="78">
        <f>IF('16'!E24="","",'16'!E24)</f>
        <v>46235</v>
      </c>
      <c r="E381" s="85"/>
    </row>
    <row r="382" spans="1:5" hidden="1" x14ac:dyDescent="0.25">
      <c r="A382" s="105" t="s">
        <v>26</v>
      </c>
      <c r="B382" s="162"/>
      <c r="C382" s="4">
        <v>21</v>
      </c>
      <c r="D382" s="78">
        <f>IF('16'!E25="","",'16'!E25)</f>
        <v>46234</v>
      </c>
      <c r="E382" s="85"/>
    </row>
    <row r="383" spans="1:5" hidden="1" x14ac:dyDescent="0.25">
      <c r="A383" s="105" t="s">
        <v>26</v>
      </c>
      <c r="B383" s="162"/>
      <c r="C383" s="4">
        <v>22</v>
      </c>
      <c r="D383" s="78">
        <f>IF('16'!E26="","",'16'!E26)</f>
        <v>46236</v>
      </c>
      <c r="E383" s="85"/>
    </row>
    <row r="384" spans="1:5" hidden="1" x14ac:dyDescent="0.25">
      <c r="A384" s="105" t="s">
        <v>26</v>
      </c>
      <c r="B384" s="162"/>
      <c r="C384" s="4">
        <v>23</v>
      </c>
      <c r="D384" s="78">
        <f>IF('16'!E27="","",'16'!E27)</f>
        <v>46236</v>
      </c>
      <c r="E384" s="85"/>
    </row>
    <row r="385" spans="1:5" hidden="1" x14ac:dyDescent="0.25">
      <c r="A385" s="105" t="s">
        <v>26</v>
      </c>
      <c r="B385" s="163"/>
      <c r="C385" s="4">
        <v>24</v>
      </c>
      <c r="D385" s="78">
        <f>IF('16'!E28="","",'16'!E28)</f>
        <v>46238</v>
      </c>
      <c r="E385" s="85"/>
    </row>
    <row r="386" spans="1:5" hidden="1" x14ac:dyDescent="0.25">
      <c r="A386" s="106" t="s">
        <v>81</v>
      </c>
      <c r="B386" s="161" t="s">
        <v>81</v>
      </c>
      <c r="C386" s="4">
        <v>1</v>
      </c>
      <c r="D386" s="78">
        <f>IF('17'!E5="","",'17'!E5)</f>
        <v>46241</v>
      </c>
      <c r="E386" s="85"/>
    </row>
    <row r="387" spans="1:5" x14ac:dyDescent="0.25">
      <c r="A387" s="106" t="s">
        <v>81</v>
      </c>
      <c r="B387" s="162"/>
      <c r="C387" s="4">
        <v>2</v>
      </c>
      <c r="D387" s="78">
        <f>IF('17'!E6="","",'17'!E6)</f>
        <v>46231</v>
      </c>
      <c r="E387" s="85"/>
    </row>
    <row r="388" spans="1:5" hidden="1" x14ac:dyDescent="0.25">
      <c r="A388" s="106" t="s">
        <v>81</v>
      </c>
      <c r="B388" s="162"/>
      <c r="C388" s="4">
        <v>3</v>
      </c>
      <c r="D388" s="78">
        <f>IF('17'!E7="","",'17'!E7)</f>
        <v>46233</v>
      </c>
      <c r="E388" s="85"/>
    </row>
    <row r="389" spans="1:5" hidden="1" x14ac:dyDescent="0.25">
      <c r="A389" s="106" t="s">
        <v>81</v>
      </c>
      <c r="B389" s="162"/>
      <c r="C389" s="4">
        <v>4</v>
      </c>
      <c r="D389" s="78">
        <f>IF('17'!E8="","",'17'!E8)</f>
        <v>46232</v>
      </c>
      <c r="E389" s="85"/>
    </row>
    <row r="390" spans="1:5" x14ac:dyDescent="0.25">
      <c r="A390" s="106" t="s">
        <v>81</v>
      </c>
      <c r="B390" s="162"/>
      <c r="C390" s="4">
        <v>5</v>
      </c>
      <c r="D390" s="78">
        <f>IF('17'!E9="","",'17'!E9)</f>
        <v>46223</v>
      </c>
      <c r="E390" s="85"/>
    </row>
    <row r="391" spans="1:5" hidden="1" x14ac:dyDescent="0.25">
      <c r="A391" s="106" t="s">
        <v>81</v>
      </c>
      <c r="B391" s="162"/>
      <c r="C391" s="4">
        <v>6</v>
      </c>
      <c r="D391" s="78">
        <f>IF('17'!E10="","",'17'!E10)</f>
        <v>46237</v>
      </c>
      <c r="E391" s="85"/>
    </row>
    <row r="392" spans="1:5" hidden="1" x14ac:dyDescent="0.25">
      <c r="A392" s="106" t="s">
        <v>81</v>
      </c>
      <c r="B392" s="162"/>
      <c r="C392" s="4">
        <v>7</v>
      </c>
      <c r="D392" s="78">
        <f>IF('17'!E11="","",'17'!E11)</f>
        <v>46235</v>
      </c>
      <c r="E392" s="85"/>
    </row>
    <row r="393" spans="1:5" hidden="1" x14ac:dyDescent="0.25">
      <c r="A393" s="106" t="s">
        <v>81</v>
      </c>
      <c r="B393" s="162"/>
      <c r="C393" s="4">
        <v>8</v>
      </c>
      <c r="D393" s="78">
        <f>IF('17'!E12="","",'17'!E12)</f>
        <v>46238</v>
      </c>
      <c r="E393" s="85"/>
    </row>
    <row r="394" spans="1:5" hidden="1" x14ac:dyDescent="0.25">
      <c r="A394" s="106" t="s">
        <v>81</v>
      </c>
      <c r="B394" s="162"/>
      <c r="C394" s="4">
        <v>9</v>
      </c>
      <c r="D394" s="78">
        <f>IF('17'!E13="","",'17'!E13)</f>
        <v>46236</v>
      </c>
      <c r="E394" s="89"/>
    </row>
    <row r="395" spans="1:5" hidden="1" x14ac:dyDescent="0.25">
      <c r="A395" s="106" t="s">
        <v>81</v>
      </c>
      <c r="B395" s="162"/>
      <c r="C395" s="4">
        <v>10</v>
      </c>
      <c r="D395" s="78">
        <f>IF('17'!E14="","",'17'!E14)</f>
        <v>46234</v>
      </c>
      <c r="E395" s="85"/>
    </row>
    <row r="396" spans="1:5" x14ac:dyDescent="0.25">
      <c r="A396" s="106" t="s">
        <v>81</v>
      </c>
      <c r="B396" s="162"/>
      <c r="C396" s="4">
        <v>11</v>
      </c>
      <c r="D396" s="78">
        <f>IF('17'!E15="","",'17'!E15)</f>
        <v>46224</v>
      </c>
      <c r="E396" s="85"/>
    </row>
    <row r="397" spans="1:5" x14ac:dyDescent="0.25">
      <c r="A397" s="106" t="s">
        <v>81</v>
      </c>
      <c r="B397" s="162"/>
      <c r="C397" s="4">
        <v>12</v>
      </c>
      <c r="D397" s="78">
        <f>IF('17'!E16="","",'17'!E16)</f>
        <v>46228</v>
      </c>
      <c r="E397" s="85"/>
    </row>
    <row r="398" spans="1:5" x14ac:dyDescent="0.25">
      <c r="A398" s="106" t="s">
        <v>81</v>
      </c>
      <c r="B398" s="162"/>
      <c r="C398" s="4">
        <v>13</v>
      </c>
      <c r="D398" s="78">
        <f>IF('17'!E17="","",'17'!E17)</f>
        <v>46219</v>
      </c>
      <c r="E398" s="89"/>
    </row>
    <row r="399" spans="1:5" x14ac:dyDescent="0.25">
      <c r="A399" s="106" t="s">
        <v>81</v>
      </c>
      <c r="B399" s="162"/>
      <c r="C399" s="4">
        <v>14</v>
      </c>
      <c r="D399" s="78">
        <f>IF('17'!E18="","",'17'!E18)</f>
        <v>46230</v>
      </c>
      <c r="E399" s="85"/>
    </row>
    <row r="400" spans="1:5" x14ac:dyDescent="0.25">
      <c r="A400" s="106" t="s">
        <v>81</v>
      </c>
      <c r="B400" s="162"/>
      <c r="C400" s="4">
        <v>15</v>
      </c>
      <c r="D400" s="78">
        <f>IF('17'!E19="","",'17'!E19)</f>
        <v>46228</v>
      </c>
      <c r="E400" s="85"/>
    </row>
    <row r="401" spans="1:5" x14ac:dyDescent="0.25">
      <c r="A401" s="106" t="s">
        <v>81</v>
      </c>
      <c r="B401" s="162"/>
      <c r="C401" s="4">
        <v>16</v>
      </c>
      <c r="D401" s="78">
        <f>IF('17'!E20="","",'17'!E20)</f>
        <v>46229</v>
      </c>
      <c r="E401" s="85"/>
    </row>
    <row r="402" spans="1:5" hidden="1" x14ac:dyDescent="0.25">
      <c r="A402" s="106" t="s">
        <v>81</v>
      </c>
      <c r="B402" s="162"/>
      <c r="C402" s="4">
        <v>17</v>
      </c>
      <c r="D402" s="78">
        <f>IF('17'!E21="","",'17'!E21)</f>
        <v>46232</v>
      </c>
      <c r="E402" s="85"/>
    </row>
    <row r="403" spans="1:5" x14ac:dyDescent="0.25">
      <c r="A403" s="106" t="s">
        <v>81</v>
      </c>
      <c r="B403" s="162"/>
      <c r="C403" s="4">
        <v>18</v>
      </c>
      <c r="D403" s="78">
        <f>IF('17'!E22="","",'17'!E22)</f>
        <v>46229</v>
      </c>
      <c r="E403" s="85"/>
    </row>
    <row r="404" spans="1:5" x14ac:dyDescent="0.25">
      <c r="A404" s="106" t="s">
        <v>81</v>
      </c>
      <c r="B404" s="162"/>
      <c r="C404" s="4">
        <v>19</v>
      </c>
      <c r="D404" s="78">
        <f>IF('17'!E23="","",'17'!E23)</f>
        <v>46230</v>
      </c>
      <c r="E404" s="85"/>
    </row>
    <row r="405" spans="1:5" hidden="1" x14ac:dyDescent="0.25">
      <c r="A405" s="106" t="s">
        <v>81</v>
      </c>
      <c r="B405" s="162"/>
      <c r="C405" s="4">
        <v>20</v>
      </c>
      <c r="D405" s="78">
        <f>IF('17'!E24="","",'17'!E24)</f>
        <v>46231</v>
      </c>
      <c r="E405" s="85"/>
    </row>
    <row r="406" spans="1:5" hidden="1" x14ac:dyDescent="0.25">
      <c r="A406" s="106" t="s">
        <v>81</v>
      </c>
      <c r="B406" s="162"/>
      <c r="C406" s="4">
        <v>21</v>
      </c>
      <c r="D406" s="78">
        <f>IF('17'!E25="","",'17'!E25)</f>
        <v>46233</v>
      </c>
      <c r="E406" s="85"/>
    </row>
    <row r="407" spans="1:5" hidden="1" x14ac:dyDescent="0.25">
      <c r="A407" s="106" t="s">
        <v>81</v>
      </c>
      <c r="B407" s="162"/>
      <c r="C407" s="4">
        <v>22</v>
      </c>
      <c r="D407" s="78">
        <f>IF('17'!E26="","",'17'!E26)</f>
        <v>46234</v>
      </c>
      <c r="E407" s="85"/>
    </row>
    <row r="408" spans="1:5" hidden="1" x14ac:dyDescent="0.25">
      <c r="A408" s="106" t="s">
        <v>81</v>
      </c>
      <c r="B408" s="162"/>
      <c r="C408" s="4">
        <v>23</v>
      </c>
      <c r="D408" s="78">
        <f>IF('17'!E27="","",'17'!E27)</f>
        <v>46236</v>
      </c>
      <c r="E408" s="85"/>
    </row>
    <row r="409" spans="1:5" hidden="1" x14ac:dyDescent="0.25">
      <c r="A409" s="106" t="s">
        <v>81</v>
      </c>
      <c r="B409" s="163"/>
      <c r="C409" s="4">
        <v>24</v>
      </c>
      <c r="D409" s="78">
        <f>IF('17'!E28="","",'17'!E28)</f>
        <v>46237</v>
      </c>
      <c r="E409" s="85"/>
    </row>
    <row r="410" spans="1:5" hidden="1" x14ac:dyDescent="0.25">
      <c r="A410" s="107" t="s">
        <v>9</v>
      </c>
      <c r="B410" s="161" t="s">
        <v>9</v>
      </c>
      <c r="C410" s="4">
        <v>1</v>
      </c>
      <c r="D410" s="78">
        <f>IF('18'!E5="","",'18'!E5)</f>
        <v>46240</v>
      </c>
      <c r="E410" s="85"/>
    </row>
    <row r="411" spans="1:5" hidden="1" x14ac:dyDescent="0.25">
      <c r="A411" s="107" t="s">
        <v>9</v>
      </c>
      <c r="B411" s="162"/>
      <c r="C411" s="4">
        <v>2</v>
      </c>
      <c r="D411" s="78">
        <f>IF('18'!E6="","",'18'!E6)</f>
        <v>46244</v>
      </c>
      <c r="E411" s="85"/>
    </row>
    <row r="412" spans="1:5" hidden="1" x14ac:dyDescent="0.25">
      <c r="A412" s="107" t="s">
        <v>9</v>
      </c>
      <c r="B412" s="162"/>
      <c r="C412" s="4">
        <v>3</v>
      </c>
      <c r="D412" s="78">
        <f>IF('18'!E7="","",'18'!E7)</f>
        <v>46247</v>
      </c>
      <c r="E412" s="85"/>
    </row>
    <row r="413" spans="1:5" hidden="1" x14ac:dyDescent="0.25">
      <c r="A413" s="107" t="s">
        <v>9</v>
      </c>
      <c r="B413" s="162"/>
      <c r="C413" s="4">
        <v>4</v>
      </c>
      <c r="D413" s="78">
        <f>IF('18'!E8="","",'18'!E8)</f>
        <v>46245</v>
      </c>
      <c r="E413" s="85"/>
    </row>
    <row r="414" spans="1:5" hidden="1" x14ac:dyDescent="0.25">
      <c r="A414" s="107" t="s">
        <v>9</v>
      </c>
      <c r="B414" s="162"/>
      <c r="C414" s="4">
        <v>5</v>
      </c>
      <c r="D414" s="78">
        <f>IF('18'!E9="","",'18'!E9)</f>
        <v>46248</v>
      </c>
      <c r="E414" s="85"/>
    </row>
    <row r="415" spans="1:5" hidden="1" x14ac:dyDescent="0.25">
      <c r="A415" s="107" t="s">
        <v>9</v>
      </c>
      <c r="B415" s="162"/>
      <c r="C415" s="4">
        <v>6</v>
      </c>
      <c r="D415" s="78">
        <f>IF('18'!E10="","",'18'!E10)</f>
        <v>46247</v>
      </c>
      <c r="E415" s="85"/>
    </row>
    <row r="416" spans="1:5" hidden="1" x14ac:dyDescent="0.25">
      <c r="A416" s="107" t="s">
        <v>9</v>
      </c>
      <c r="B416" s="162"/>
      <c r="C416" s="4">
        <v>7</v>
      </c>
      <c r="D416" s="78">
        <f>IF('18'!E11="","",'18'!E11)</f>
        <v>46248</v>
      </c>
      <c r="E416" s="85"/>
    </row>
    <row r="417" spans="1:5" hidden="1" x14ac:dyDescent="0.25">
      <c r="A417" s="107" t="s">
        <v>9</v>
      </c>
      <c r="B417" s="162"/>
      <c r="C417" s="4">
        <v>8</v>
      </c>
      <c r="D417" s="78">
        <f>IF('18'!E12="","",'18'!E12)</f>
        <v>46246</v>
      </c>
      <c r="E417" s="85"/>
    </row>
    <row r="418" spans="1:5" hidden="1" x14ac:dyDescent="0.25">
      <c r="A418" s="107" t="s">
        <v>9</v>
      </c>
      <c r="B418" s="162"/>
      <c r="C418" s="4">
        <v>9</v>
      </c>
      <c r="D418" s="78">
        <f>IF('18'!E13="","",'18'!E13)</f>
        <v>46245</v>
      </c>
      <c r="E418" s="85"/>
    </row>
    <row r="419" spans="1:5" hidden="1" x14ac:dyDescent="0.25">
      <c r="A419" s="107" t="s">
        <v>9</v>
      </c>
      <c r="B419" s="162"/>
      <c r="C419" s="4">
        <v>10</v>
      </c>
      <c r="D419" s="78">
        <f>IF('18'!E14="","",'18'!E14)</f>
        <v>46247</v>
      </c>
      <c r="E419" s="85"/>
    </row>
    <row r="420" spans="1:5" hidden="1" x14ac:dyDescent="0.25">
      <c r="A420" s="107" t="s">
        <v>9</v>
      </c>
      <c r="B420" s="162"/>
      <c r="C420" s="4">
        <v>11</v>
      </c>
      <c r="D420" s="78">
        <f>IF('18'!E15="","",'18'!E15)</f>
        <v>46243</v>
      </c>
      <c r="E420" s="85"/>
    </row>
    <row r="421" spans="1:5" hidden="1" x14ac:dyDescent="0.25">
      <c r="A421" s="107" t="s">
        <v>9</v>
      </c>
      <c r="B421" s="162"/>
      <c r="C421" s="4">
        <v>12</v>
      </c>
      <c r="D421" s="78">
        <f>IF('18'!E16="","",'18'!E16)</f>
        <v>46242</v>
      </c>
      <c r="E421" s="85"/>
    </row>
    <row r="422" spans="1:5" hidden="1" x14ac:dyDescent="0.25">
      <c r="A422" s="107" t="s">
        <v>9</v>
      </c>
      <c r="B422" s="162"/>
      <c r="C422" s="4">
        <v>13</v>
      </c>
      <c r="D422" s="78">
        <f>IF('18'!E17="","",'18'!E17)</f>
        <v>46244</v>
      </c>
      <c r="E422" s="85"/>
    </row>
    <row r="423" spans="1:5" hidden="1" x14ac:dyDescent="0.25">
      <c r="A423" s="107" t="s">
        <v>9</v>
      </c>
      <c r="B423" s="162"/>
      <c r="C423" s="4">
        <v>14</v>
      </c>
      <c r="D423" s="78">
        <f>IF('18'!E18="","",'18'!E18)</f>
        <v>46241</v>
      </c>
      <c r="E423" s="85"/>
    </row>
    <row r="424" spans="1:5" hidden="1" x14ac:dyDescent="0.25">
      <c r="A424" s="107" t="s">
        <v>9</v>
      </c>
      <c r="B424" s="162"/>
      <c r="C424" s="4">
        <v>15</v>
      </c>
      <c r="D424" s="78">
        <f>IF('18'!E19="","",'18'!E19)</f>
        <v>46242</v>
      </c>
      <c r="E424" s="85"/>
    </row>
    <row r="425" spans="1:5" hidden="1" x14ac:dyDescent="0.25">
      <c r="A425" s="107" t="s">
        <v>9</v>
      </c>
      <c r="B425" s="162"/>
      <c r="C425" s="4">
        <v>16</v>
      </c>
      <c r="D425" s="78">
        <f>IF('18'!E20="","",'18'!E20)</f>
        <v>46239</v>
      </c>
      <c r="E425" s="85"/>
    </row>
    <row r="426" spans="1:5" hidden="1" x14ac:dyDescent="0.25">
      <c r="A426" s="107" t="s">
        <v>9</v>
      </c>
      <c r="B426" s="162"/>
      <c r="C426" s="4">
        <v>17</v>
      </c>
      <c r="D426" s="78">
        <f>IF('18'!E21="","",'18'!E21)</f>
        <v>46243</v>
      </c>
      <c r="E426" s="85"/>
    </row>
    <row r="427" spans="1:5" hidden="1" x14ac:dyDescent="0.25">
      <c r="A427" s="107" t="s">
        <v>9</v>
      </c>
      <c r="B427" s="162"/>
      <c r="C427" s="4">
        <v>18</v>
      </c>
      <c r="D427" s="78">
        <f>IF('18'!E22="","",'18'!E22)</f>
        <v>46239</v>
      </c>
      <c r="E427" s="85"/>
    </row>
    <row r="428" spans="1:5" hidden="1" x14ac:dyDescent="0.25">
      <c r="A428" s="107" t="s">
        <v>9</v>
      </c>
      <c r="B428" s="162"/>
      <c r="C428" s="4">
        <v>19</v>
      </c>
      <c r="D428" s="78">
        <f>IF('18'!E23="","",'18'!E23)</f>
        <v>46243</v>
      </c>
      <c r="E428" s="85"/>
    </row>
    <row r="429" spans="1:5" hidden="1" x14ac:dyDescent="0.25">
      <c r="A429" s="107" t="s">
        <v>9</v>
      </c>
      <c r="B429" s="162"/>
      <c r="C429" s="4">
        <v>20</v>
      </c>
      <c r="D429" s="78">
        <f>IF('18'!E24="","",'18'!E24)</f>
        <v>46236</v>
      </c>
      <c r="E429" s="85"/>
    </row>
    <row r="430" spans="1:5" hidden="1" x14ac:dyDescent="0.25">
      <c r="A430" s="107" t="s">
        <v>9</v>
      </c>
      <c r="B430" s="162"/>
      <c r="C430" s="4">
        <v>21</v>
      </c>
      <c r="D430" s="78">
        <f>IF('18'!E25="","",'18'!E25)</f>
        <v>46241</v>
      </c>
      <c r="E430" s="85"/>
    </row>
    <row r="431" spans="1:5" hidden="1" x14ac:dyDescent="0.25">
      <c r="A431" s="107" t="s">
        <v>9</v>
      </c>
      <c r="B431" s="162"/>
      <c r="C431" s="4">
        <v>22</v>
      </c>
      <c r="D431" s="78">
        <f>IF('18'!E26="","",'18'!E26)</f>
        <v>46246</v>
      </c>
      <c r="E431" s="85"/>
    </row>
    <row r="432" spans="1:5" hidden="1" x14ac:dyDescent="0.25">
      <c r="A432" s="107" t="s">
        <v>9</v>
      </c>
      <c r="B432" s="162"/>
      <c r="C432" s="4">
        <v>23</v>
      </c>
      <c r="D432" s="78">
        <f>IF('18'!E27="","",'18'!E27)</f>
        <v>46244</v>
      </c>
      <c r="E432" s="85"/>
    </row>
    <row r="433" spans="1:5" hidden="1" x14ac:dyDescent="0.25">
      <c r="A433" s="107" t="s">
        <v>9</v>
      </c>
      <c r="B433" s="163"/>
      <c r="C433" s="4">
        <v>24</v>
      </c>
      <c r="D433" s="78">
        <f>IF('18'!E28="","",'18'!E28)</f>
        <v>46245</v>
      </c>
      <c r="E433" s="85"/>
    </row>
    <row r="434" spans="1:5" hidden="1" x14ac:dyDescent="0.25">
      <c r="A434" s="108" t="s">
        <v>10</v>
      </c>
      <c r="B434" s="161" t="s">
        <v>10</v>
      </c>
      <c r="C434" s="4">
        <v>1</v>
      </c>
      <c r="D434" s="78" t="str">
        <f>IF('19'!E5="","",'19'!E5)</f>
        <v/>
      </c>
      <c r="E434" s="85"/>
    </row>
    <row r="435" spans="1:5" hidden="1" x14ac:dyDescent="0.25">
      <c r="A435" s="108" t="s">
        <v>10</v>
      </c>
      <c r="B435" s="162"/>
      <c r="C435" s="4">
        <v>2</v>
      </c>
      <c r="D435" s="78" t="str">
        <f>IF('19'!E6="","",'19'!E6)</f>
        <v/>
      </c>
      <c r="E435" s="85"/>
    </row>
    <row r="436" spans="1:5" hidden="1" x14ac:dyDescent="0.25">
      <c r="A436" s="108" t="s">
        <v>10</v>
      </c>
      <c r="B436" s="162"/>
      <c r="C436" s="4">
        <v>3</v>
      </c>
      <c r="D436" s="78" t="str">
        <f>IF('19'!E7="","",'19'!E7)</f>
        <v/>
      </c>
      <c r="E436" s="85"/>
    </row>
    <row r="437" spans="1:5" hidden="1" x14ac:dyDescent="0.25">
      <c r="A437" s="108" t="s">
        <v>10</v>
      </c>
      <c r="B437" s="162"/>
      <c r="C437" s="4">
        <v>4</v>
      </c>
      <c r="D437" s="78" t="str">
        <f>IF('19'!E8="","",'19'!E8)</f>
        <v/>
      </c>
      <c r="E437" s="85"/>
    </row>
    <row r="438" spans="1:5" hidden="1" x14ac:dyDescent="0.25">
      <c r="A438" s="108" t="s">
        <v>10</v>
      </c>
      <c r="B438" s="162"/>
      <c r="C438" s="4">
        <v>5</v>
      </c>
      <c r="D438" s="78" t="str">
        <f>IF('19'!E9="","",'19'!E9)</f>
        <v/>
      </c>
      <c r="E438" s="85"/>
    </row>
    <row r="439" spans="1:5" hidden="1" x14ac:dyDescent="0.25">
      <c r="A439" s="108" t="s">
        <v>10</v>
      </c>
      <c r="B439" s="162"/>
      <c r="C439" s="4">
        <v>6</v>
      </c>
      <c r="D439" s="78" t="str">
        <f>IF('19'!E10="","",'19'!E10)</f>
        <v/>
      </c>
      <c r="E439" s="85"/>
    </row>
    <row r="440" spans="1:5" hidden="1" x14ac:dyDescent="0.25">
      <c r="A440" s="108" t="s">
        <v>10</v>
      </c>
      <c r="B440" s="162"/>
      <c r="C440" s="4">
        <v>7</v>
      </c>
      <c r="D440" s="78" t="str">
        <f>IF('19'!E11="","",'19'!E11)</f>
        <v/>
      </c>
      <c r="E440" s="85"/>
    </row>
    <row r="441" spans="1:5" hidden="1" x14ac:dyDescent="0.25">
      <c r="A441" s="108" t="s">
        <v>10</v>
      </c>
      <c r="B441" s="162"/>
      <c r="C441" s="4">
        <v>8</v>
      </c>
      <c r="D441" s="78" t="str">
        <f>IF('19'!E12="","",'19'!E12)</f>
        <v/>
      </c>
      <c r="E441" s="85"/>
    </row>
    <row r="442" spans="1:5" hidden="1" x14ac:dyDescent="0.25">
      <c r="A442" s="108" t="s">
        <v>10</v>
      </c>
      <c r="B442" s="162"/>
      <c r="C442" s="4">
        <v>9</v>
      </c>
      <c r="D442" s="78" t="str">
        <f>IF('19'!E13="","",'19'!E13)</f>
        <v/>
      </c>
      <c r="E442" s="85"/>
    </row>
    <row r="443" spans="1:5" hidden="1" x14ac:dyDescent="0.25">
      <c r="A443" s="108" t="s">
        <v>10</v>
      </c>
      <c r="B443" s="162"/>
      <c r="C443" s="4">
        <v>10</v>
      </c>
      <c r="D443" s="78" t="str">
        <f>IF('19'!E14="","",'19'!E14)</f>
        <v/>
      </c>
      <c r="E443" s="85"/>
    </row>
    <row r="444" spans="1:5" hidden="1" x14ac:dyDescent="0.25">
      <c r="A444" s="108" t="s">
        <v>10</v>
      </c>
      <c r="B444" s="162"/>
      <c r="C444" s="4">
        <v>11</v>
      </c>
      <c r="D444" s="78" t="str">
        <f>IF('19'!E15="","",'19'!E15)</f>
        <v/>
      </c>
      <c r="E444" s="85"/>
    </row>
    <row r="445" spans="1:5" hidden="1" x14ac:dyDescent="0.25">
      <c r="A445" s="108" t="s">
        <v>10</v>
      </c>
      <c r="B445" s="162"/>
      <c r="C445" s="4">
        <v>12</v>
      </c>
      <c r="D445" s="78" t="str">
        <f>IF('19'!E16="","",'19'!E16)</f>
        <v/>
      </c>
      <c r="E445" s="85"/>
    </row>
    <row r="446" spans="1:5" hidden="1" x14ac:dyDescent="0.25">
      <c r="A446" s="108" t="s">
        <v>10</v>
      </c>
      <c r="B446" s="162"/>
      <c r="C446" s="4">
        <v>13</v>
      </c>
      <c r="D446" s="78" t="str">
        <f>IF('19'!E17="","",'19'!E17)</f>
        <v/>
      </c>
      <c r="E446" s="85"/>
    </row>
    <row r="447" spans="1:5" hidden="1" x14ac:dyDescent="0.25">
      <c r="A447" s="108" t="s">
        <v>10</v>
      </c>
      <c r="B447" s="162"/>
      <c r="C447" s="4">
        <v>14</v>
      </c>
      <c r="D447" s="78" t="str">
        <f>IF('19'!E18="","",'19'!E18)</f>
        <v/>
      </c>
      <c r="E447" s="85"/>
    </row>
    <row r="448" spans="1:5" hidden="1" x14ac:dyDescent="0.25">
      <c r="A448" s="108" t="s">
        <v>10</v>
      </c>
      <c r="B448" s="162"/>
      <c r="C448" s="4">
        <v>15</v>
      </c>
      <c r="D448" s="78" t="str">
        <f>IF('19'!E19="","",'19'!E19)</f>
        <v/>
      </c>
      <c r="E448" s="85"/>
    </row>
    <row r="449" spans="1:5" hidden="1" x14ac:dyDescent="0.25">
      <c r="A449" s="108" t="s">
        <v>10</v>
      </c>
      <c r="B449" s="162"/>
      <c r="C449" s="4">
        <v>16</v>
      </c>
      <c r="D449" s="78" t="str">
        <f>IF('19'!E20="","",'19'!E20)</f>
        <v/>
      </c>
      <c r="E449" s="85"/>
    </row>
    <row r="450" spans="1:5" hidden="1" x14ac:dyDescent="0.25">
      <c r="A450" s="108" t="s">
        <v>10</v>
      </c>
      <c r="B450" s="162"/>
      <c r="C450" s="4">
        <v>17</v>
      </c>
      <c r="D450" s="78" t="str">
        <f>IF('19'!E21="","",'19'!E21)</f>
        <v/>
      </c>
      <c r="E450" s="85"/>
    </row>
    <row r="451" spans="1:5" hidden="1" x14ac:dyDescent="0.25">
      <c r="A451" s="108" t="s">
        <v>10</v>
      </c>
      <c r="B451" s="162"/>
      <c r="C451" s="4">
        <v>18</v>
      </c>
      <c r="D451" s="78" t="str">
        <f>IF('19'!E22="","",'19'!E22)</f>
        <v/>
      </c>
      <c r="E451" s="85"/>
    </row>
    <row r="452" spans="1:5" hidden="1" x14ac:dyDescent="0.25">
      <c r="A452" s="108" t="s">
        <v>10</v>
      </c>
      <c r="B452" s="162"/>
      <c r="C452" s="4">
        <v>19</v>
      </c>
      <c r="D452" s="78" t="str">
        <f>IF('19'!E23="","",'19'!E23)</f>
        <v/>
      </c>
      <c r="E452" s="85"/>
    </row>
    <row r="453" spans="1:5" hidden="1" x14ac:dyDescent="0.25">
      <c r="A453" s="108" t="s">
        <v>10</v>
      </c>
      <c r="B453" s="162"/>
      <c r="C453" s="4">
        <v>20</v>
      </c>
      <c r="D453" s="78" t="str">
        <f>IF('19'!E24="","",'19'!E24)</f>
        <v/>
      </c>
      <c r="E453" s="85"/>
    </row>
    <row r="454" spans="1:5" hidden="1" x14ac:dyDescent="0.25">
      <c r="A454" s="108" t="s">
        <v>10</v>
      </c>
      <c r="B454" s="162"/>
      <c r="C454" s="4">
        <v>21</v>
      </c>
      <c r="D454" s="78" t="str">
        <f>IF('19'!E25="","",'19'!E25)</f>
        <v/>
      </c>
      <c r="E454" s="85"/>
    </row>
    <row r="455" spans="1:5" hidden="1" x14ac:dyDescent="0.25">
      <c r="A455" s="108" t="s">
        <v>10</v>
      </c>
      <c r="B455" s="162"/>
      <c r="C455" s="4">
        <v>22</v>
      </c>
      <c r="D455" s="78" t="str">
        <f>IF('19'!E26="","",'19'!E26)</f>
        <v/>
      </c>
      <c r="E455" s="85"/>
    </row>
    <row r="456" spans="1:5" hidden="1" x14ac:dyDescent="0.25">
      <c r="A456" s="108" t="s">
        <v>10</v>
      </c>
      <c r="B456" s="162"/>
      <c r="C456" s="4">
        <v>23</v>
      </c>
      <c r="D456" s="78" t="str">
        <f>IF('19'!E27="","",'19'!E27)</f>
        <v/>
      </c>
      <c r="E456" s="85"/>
    </row>
    <row r="457" spans="1:5" hidden="1" x14ac:dyDescent="0.25">
      <c r="A457" s="108" t="s">
        <v>10</v>
      </c>
      <c r="B457" s="163"/>
      <c r="C457" s="4">
        <v>24</v>
      </c>
      <c r="D457" s="78" t="str">
        <f>IF('19'!E28="","",'19'!E28)</f>
        <v/>
      </c>
      <c r="E457" s="85"/>
    </row>
    <row r="458" spans="1:5" hidden="1" x14ac:dyDescent="0.25">
      <c r="A458" s="97" t="s">
        <v>11</v>
      </c>
      <c r="B458" s="161" t="s">
        <v>11</v>
      </c>
      <c r="C458" s="4">
        <v>1</v>
      </c>
      <c r="D458" s="78" t="str">
        <f>IF('20'!E5="","",'20'!E5)</f>
        <v/>
      </c>
      <c r="E458" s="85"/>
    </row>
    <row r="459" spans="1:5" hidden="1" x14ac:dyDescent="0.25">
      <c r="A459" s="97" t="s">
        <v>11</v>
      </c>
      <c r="B459" s="162"/>
      <c r="C459" s="4">
        <v>2</v>
      </c>
      <c r="D459" s="78" t="str">
        <f>IF('20'!E6="","",'20'!E6)</f>
        <v/>
      </c>
      <c r="E459" s="85"/>
    </row>
    <row r="460" spans="1:5" hidden="1" x14ac:dyDescent="0.25">
      <c r="A460" s="97" t="s">
        <v>11</v>
      </c>
      <c r="B460" s="162"/>
      <c r="C460" s="4">
        <v>3</v>
      </c>
      <c r="D460" s="78" t="str">
        <f>IF('20'!E7="","",'20'!E7)</f>
        <v/>
      </c>
      <c r="E460" s="85"/>
    </row>
    <row r="461" spans="1:5" hidden="1" x14ac:dyDescent="0.25">
      <c r="A461" s="97" t="s">
        <v>11</v>
      </c>
      <c r="B461" s="162"/>
      <c r="C461" s="4">
        <v>4</v>
      </c>
      <c r="D461" s="78" t="str">
        <f>IF('20'!E8="","",'20'!E8)</f>
        <v/>
      </c>
      <c r="E461" s="85"/>
    </row>
    <row r="462" spans="1:5" hidden="1" x14ac:dyDescent="0.25">
      <c r="A462" s="97" t="s">
        <v>11</v>
      </c>
      <c r="B462" s="162"/>
      <c r="C462" s="4">
        <v>5</v>
      </c>
      <c r="D462" s="78" t="str">
        <f>IF('20'!E9="","",'20'!E9)</f>
        <v/>
      </c>
      <c r="E462" s="85"/>
    </row>
    <row r="463" spans="1:5" hidden="1" x14ac:dyDescent="0.25">
      <c r="A463" s="97" t="s">
        <v>11</v>
      </c>
      <c r="B463" s="162"/>
      <c r="C463" s="4">
        <v>6</v>
      </c>
      <c r="D463" s="78" t="str">
        <f>IF('20'!E10="","",'20'!E10)</f>
        <v/>
      </c>
      <c r="E463" s="85"/>
    </row>
    <row r="464" spans="1:5" hidden="1" x14ac:dyDescent="0.25">
      <c r="A464" s="97" t="s">
        <v>11</v>
      </c>
      <c r="B464" s="162"/>
      <c r="C464" s="4">
        <v>7</v>
      </c>
      <c r="D464" s="78" t="str">
        <f>IF('20'!E11="","",'20'!E11)</f>
        <v/>
      </c>
      <c r="E464" s="85"/>
    </row>
    <row r="465" spans="1:5" hidden="1" x14ac:dyDescent="0.25">
      <c r="A465" s="97" t="s">
        <v>11</v>
      </c>
      <c r="B465" s="162"/>
      <c r="C465" s="4">
        <v>8</v>
      </c>
      <c r="D465" s="78" t="str">
        <f>IF('20'!E12="","",'20'!E12)</f>
        <v/>
      </c>
      <c r="E465" s="85"/>
    </row>
    <row r="466" spans="1:5" hidden="1" x14ac:dyDescent="0.25">
      <c r="A466" s="97" t="s">
        <v>11</v>
      </c>
      <c r="B466" s="162"/>
      <c r="C466" s="4">
        <v>9</v>
      </c>
      <c r="D466" s="78" t="str">
        <f>IF('20'!E13="","",'20'!E13)</f>
        <v/>
      </c>
      <c r="E466" s="85"/>
    </row>
    <row r="467" spans="1:5" hidden="1" x14ac:dyDescent="0.25">
      <c r="A467" s="97" t="s">
        <v>11</v>
      </c>
      <c r="B467" s="162"/>
      <c r="C467" s="4">
        <v>10</v>
      </c>
      <c r="D467" s="78" t="str">
        <f>IF('20'!E14="","",'20'!E14)</f>
        <v/>
      </c>
      <c r="E467" s="85"/>
    </row>
    <row r="468" spans="1:5" hidden="1" x14ac:dyDescent="0.25">
      <c r="A468" s="97" t="s">
        <v>11</v>
      </c>
      <c r="B468" s="162"/>
      <c r="C468" s="4">
        <v>11</v>
      </c>
      <c r="D468" s="78" t="str">
        <f>IF('20'!E15="","",'20'!E15)</f>
        <v/>
      </c>
      <c r="E468" s="85"/>
    </row>
    <row r="469" spans="1:5" hidden="1" x14ac:dyDescent="0.25">
      <c r="A469" s="97" t="s">
        <v>11</v>
      </c>
      <c r="B469" s="162"/>
      <c r="C469" s="4">
        <v>12</v>
      </c>
      <c r="D469" s="78" t="str">
        <f>IF('20'!E16="","",'20'!E16)</f>
        <v/>
      </c>
      <c r="E469" s="85"/>
    </row>
    <row r="470" spans="1:5" hidden="1" x14ac:dyDescent="0.25">
      <c r="A470" s="97" t="s">
        <v>11</v>
      </c>
      <c r="B470" s="162"/>
      <c r="C470" s="4">
        <v>13</v>
      </c>
      <c r="D470" s="78" t="str">
        <f>IF('20'!E17="","",'20'!E17)</f>
        <v/>
      </c>
      <c r="E470" s="85"/>
    </row>
    <row r="471" spans="1:5" hidden="1" x14ac:dyDescent="0.25">
      <c r="A471" s="97" t="s">
        <v>11</v>
      </c>
      <c r="B471" s="162"/>
      <c r="C471" s="4">
        <v>14</v>
      </c>
      <c r="D471" s="78" t="str">
        <f>IF('20'!E18="","",'20'!E18)</f>
        <v/>
      </c>
      <c r="E471" s="85"/>
    </row>
    <row r="472" spans="1:5" hidden="1" x14ac:dyDescent="0.25">
      <c r="A472" s="97" t="s">
        <v>11</v>
      </c>
      <c r="B472" s="162"/>
      <c r="C472" s="4">
        <v>15</v>
      </c>
      <c r="D472" s="78" t="str">
        <f>IF('20'!E19="","",'20'!E19)</f>
        <v/>
      </c>
      <c r="E472" s="85"/>
    </row>
    <row r="473" spans="1:5" hidden="1" x14ac:dyDescent="0.25">
      <c r="A473" s="97" t="s">
        <v>11</v>
      </c>
      <c r="B473" s="162"/>
      <c r="C473" s="4">
        <v>16</v>
      </c>
      <c r="D473" s="78" t="str">
        <f>IF('20'!E20="","",'20'!E20)</f>
        <v/>
      </c>
      <c r="E473" s="85"/>
    </row>
    <row r="474" spans="1:5" hidden="1" x14ac:dyDescent="0.25">
      <c r="A474" s="97" t="s">
        <v>11</v>
      </c>
      <c r="B474" s="162"/>
      <c r="C474" s="4">
        <v>17</v>
      </c>
      <c r="D474" s="78" t="str">
        <f>IF('20'!E21="","",'20'!E21)</f>
        <v/>
      </c>
      <c r="E474" s="85"/>
    </row>
    <row r="475" spans="1:5" hidden="1" x14ac:dyDescent="0.25">
      <c r="A475" s="97" t="s">
        <v>11</v>
      </c>
      <c r="B475" s="162"/>
      <c r="C475" s="4">
        <v>18</v>
      </c>
      <c r="D475" s="78" t="str">
        <f>IF('20'!E22="","",'20'!E22)</f>
        <v/>
      </c>
      <c r="E475" s="85"/>
    </row>
    <row r="476" spans="1:5" hidden="1" x14ac:dyDescent="0.25">
      <c r="A476" s="97" t="s">
        <v>11</v>
      </c>
      <c r="B476" s="162"/>
      <c r="C476" s="4">
        <v>19</v>
      </c>
      <c r="D476" s="78" t="str">
        <f>IF('20'!E23="","",'20'!E23)</f>
        <v/>
      </c>
      <c r="E476" s="85"/>
    </row>
    <row r="477" spans="1:5" hidden="1" x14ac:dyDescent="0.25">
      <c r="A477" s="97" t="s">
        <v>11</v>
      </c>
      <c r="B477" s="162"/>
      <c r="C477" s="4">
        <v>20</v>
      </c>
      <c r="D477" s="78" t="str">
        <f>IF('20'!E24="","",'20'!E24)</f>
        <v/>
      </c>
      <c r="E477" s="85"/>
    </row>
    <row r="478" spans="1:5" hidden="1" x14ac:dyDescent="0.25">
      <c r="A478" s="97" t="s">
        <v>11</v>
      </c>
      <c r="B478" s="162"/>
      <c r="C478" s="4">
        <v>21</v>
      </c>
      <c r="D478" s="78" t="str">
        <f>IF('20'!E25="","",'20'!E25)</f>
        <v/>
      </c>
      <c r="E478" s="85"/>
    </row>
    <row r="479" spans="1:5" hidden="1" x14ac:dyDescent="0.25">
      <c r="A479" s="97" t="s">
        <v>11</v>
      </c>
      <c r="B479" s="162"/>
      <c r="C479" s="4">
        <v>22</v>
      </c>
      <c r="D479" s="78" t="str">
        <f>IF('20'!E26="","",'20'!E26)</f>
        <v/>
      </c>
      <c r="E479" s="85"/>
    </row>
    <row r="480" spans="1:5" hidden="1" x14ac:dyDescent="0.25">
      <c r="A480" s="97" t="s">
        <v>11</v>
      </c>
      <c r="B480" s="162"/>
      <c r="C480" s="4">
        <v>23</v>
      </c>
      <c r="D480" s="78" t="str">
        <f>IF('20'!E27="","",'20'!E27)</f>
        <v/>
      </c>
      <c r="E480" s="85"/>
    </row>
    <row r="481" spans="1:5" hidden="1" x14ac:dyDescent="0.25">
      <c r="A481" s="97" t="s">
        <v>11</v>
      </c>
      <c r="B481" s="163"/>
      <c r="C481" s="4">
        <v>24</v>
      </c>
      <c r="D481" s="78" t="str">
        <f>IF('20'!E28="","",'20'!E28)</f>
        <v/>
      </c>
      <c r="E481" s="85"/>
    </row>
  </sheetData>
  <autoFilter ref="A1:E481" xr:uid="{E889923D-7653-4960-954B-38E4F494AEF4}">
    <filterColumn colId="3">
      <customFilters>
        <customFilter operator="notEqual" val=" "/>
      </customFilters>
    </filterColumn>
  </autoFilter>
  <mergeCells count="20">
    <mergeCell ref="B434:B457"/>
    <mergeCell ref="B458:B481"/>
    <mergeCell ref="B290:B313"/>
    <mergeCell ref="B314:B337"/>
    <mergeCell ref="B338:B361"/>
    <mergeCell ref="B362:B385"/>
    <mergeCell ref="B386:B409"/>
    <mergeCell ref="B410:B433"/>
    <mergeCell ref="B266:B289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39539-C077-4C7C-84BE-15E82EE3C7B9}">
  <dimension ref="A1:U29"/>
  <sheetViews>
    <sheetView topLeftCell="D1" zoomScale="70" zoomScaleNormal="70" workbookViewId="0">
      <selection activeCell="G11" sqref="G11"/>
    </sheetView>
  </sheetViews>
  <sheetFormatPr defaultRowHeight="15" x14ac:dyDescent="0.25"/>
  <cols>
    <col min="2" max="3" width="10.7109375" customWidth="1"/>
    <col min="4" max="4" width="11.28515625" customWidth="1"/>
    <col min="5" max="5" width="16.7109375" customWidth="1"/>
    <col min="6" max="15" width="16.85546875" customWidth="1"/>
    <col min="16" max="17" width="17.140625" customWidth="1"/>
    <col min="18" max="18" width="18.140625" customWidth="1"/>
    <col min="19" max="20" width="17.28515625" customWidth="1"/>
    <col min="21" max="21" width="18.7109375" customWidth="1"/>
  </cols>
  <sheetData>
    <row r="1" spans="1:21" ht="15" customHeight="1" x14ac:dyDescent="0.25">
      <c r="A1" s="164" t="s">
        <v>89</v>
      </c>
      <c r="B1" s="165"/>
      <c r="C1" s="174" t="s">
        <v>69</v>
      </c>
      <c r="D1" s="175"/>
      <c r="E1" s="173" t="s">
        <v>67</v>
      </c>
      <c r="F1" s="183" t="s">
        <v>70</v>
      </c>
      <c r="G1" s="187" t="s">
        <v>71</v>
      </c>
      <c r="H1" s="183" t="s">
        <v>70</v>
      </c>
      <c r="I1" s="187" t="s">
        <v>71</v>
      </c>
      <c r="J1" s="183" t="s">
        <v>70</v>
      </c>
      <c r="K1" s="187" t="s">
        <v>71</v>
      </c>
      <c r="L1" s="183" t="s">
        <v>70</v>
      </c>
      <c r="M1" s="187" t="s">
        <v>71</v>
      </c>
      <c r="N1" s="183" t="s">
        <v>68</v>
      </c>
      <c r="O1" s="183" t="s">
        <v>74</v>
      </c>
      <c r="P1" s="170" t="s">
        <v>72</v>
      </c>
      <c r="Q1" s="170" t="s">
        <v>78</v>
      </c>
      <c r="R1" s="170" t="s">
        <v>73</v>
      </c>
      <c r="S1" s="170" t="s">
        <v>76</v>
      </c>
      <c r="T1" s="170" t="s">
        <v>79</v>
      </c>
      <c r="U1" s="170" t="s">
        <v>77</v>
      </c>
    </row>
    <row r="2" spans="1:21" x14ac:dyDescent="0.25">
      <c r="A2" s="166"/>
      <c r="B2" s="167"/>
      <c r="C2" s="176"/>
      <c r="D2" s="177"/>
      <c r="E2" s="173"/>
      <c r="F2" s="184"/>
      <c r="G2" s="188"/>
      <c r="H2" s="184"/>
      <c r="I2" s="188"/>
      <c r="J2" s="184"/>
      <c r="K2" s="188"/>
      <c r="L2" s="184"/>
      <c r="M2" s="188"/>
      <c r="N2" s="184"/>
      <c r="O2" s="184"/>
      <c r="P2" s="170"/>
      <c r="Q2" s="170"/>
      <c r="R2" s="170"/>
      <c r="S2" s="170"/>
      <c r="T2" s="170"/>
      <c r="U2" s="170"/>
    </row>
    <row r="3" spans="1:21" ht="15" customHeight="1" x14ac:dyDescent="0.25">
      <c r="A3" s="168"/>
      <c r="B3" s="169"/>
      <c r="C3" s="176"/>
      <c r="D3" s="177"/>
      <c r="E3" s="173"/>
      <c r="F3" s="184"/>
      <c r="G3" s="188"/>
      <c r="H3" s="184"/>
      <c r="I3" s="188"/>
      <c r="J3" s="184"/>
      <c r="K3" s="188"/>
      <c r="L3" s="184"/>
      <c r="M3" s="188"/>
      <c r="N3" s="184"/>
      <c r="O3" s="184"/>
      <c r="P3" s="170"/>
      <c r="Q3" s="170"/>
      <c r="R3" s="170"/>
      <c r="S3" s="170"/>
      <c r="T3" s="170"/>
      <c r="U3" s="170"/>
    </row>
    <row r="4" spans="1:21" x14ac:dyDescent="0.25">
      <c r="A4" s="2" t="s">
        <v>0</v>
      </c>
      <c r="B4" s="75" t="s">
        <v>88</v>
      </c>
      <c r="C4" s="178"/>
      <c r="D4" s="179"/>
      <c r="E4" s="173"/>
      <c r="F4" s="185"/>
      <c r="G4" s="189"/>
      <c r="H4" s="185"/>
      <c r="I4" s="189"/>
      <c r="J4" s="185"/>
      <c r="K4" s="189"/>
      <c r="L4" s="185"/>
      <c r="M4" s="189"/>
      <c r="N4" s="185"/>
      <c r="O4" s="185"/>
      <c r="P4" s="170"/>
      <c r="Q4" s="170"/>
      <c r="R4" s="170"/>
      <c r="S4" s="170"/>
      <c r="T4" s="170"/>
      <c r="U4" s="170"/>
    </row>
    <row r="5" spans="1:21" x14ac:dyDescent="0.25">
      <c r="A5" s="180" t="s">
        <v>84</v>
      </c>
      <c r="B5" s="4">
        <v>1</v>
      </c>
      <c r="C5" s="171">
        <v>26.27</v>
      </c>
      <c r="D5" s="172"/>
      <c r="E5" s="78"/>
      <c r="F5" s="76"/>
      <c r="G5" s="76"/>
      <c r="H5" s="76"/>
      <c r="I5" s="76"/>
      <c r="J5" s="76"/>
      <c r="K5" s="76"/>
      <c r="L5" s="76"/>
      <c r="M5" s="76"/>
      <c r="N5" s="76">
        <f>G5+I5+K5+M5</f>
        <v>0</v>
      </c>
      <c r="O5" s="76">
        <f t="shared" ref="O5:O11" si="0">N5-C5</f>
        <v>-26.27</v>
      </c>
      <c r="P5" s="81">
        <f>E5+7</f>
        <v>7</v>
      </c>
      <c r="Q5" s="81">
        <f>E5+14</f>
        <v>14</v>
      </c>
      <c r="R5" s="81">
        <f>E5+28</f>
        <v>28</v>
      </c>
      <c r="S5" s="81"/>
      <c r="T5" s="81"/>
      <c r="U5" s="78"/>
    </row>
    <row r="6" spans="1:21" x14ac:dyDescent="0.25">
      <c r="A6" s="181"/>
      <c r="B6" s="4">
        <v>2</v>
      </c>
      <c r="C6" s="171">
        <v>26.27</v>
      </c>
      <c r="D6" s="172"/>
      <c r="E6" s="78"/>
      <c r="F6" s="76"/>
      <c r="G6" s="76"/>
      <c r="H6" s="76"/>
      <c r="I6" s="76"/>
      <c r="J6" s="76"/>
      <c r="K6" s="76"/>
      <c r="L6" s="76"/>
      <c r="M6" s="76"/>
      <c r="N6" s="76">
        <f t="shared" ref="N6:N18" si="1">G6+I6+K6+M6</f>
        <v>0</v>
      </c>
      <c r="O6" s="76">
        <f t="shared" si="0"/>
        <v>-26.27</v>
      </c>
      <c r="P6" s="81">
        <f t="shared" ref="P6:P18" si="2">E6+7</f>
        <v>7</v>
      </c>
      <c r="Q6" s="81">
        <f t="shared" ref="Q6:Q18" si="3">E6+14</f>
        <v>14</v>
      </c>
      <c r="R6" s="81">
        <f t="shared" ref="R6:R18" si="4">E6+28</f>
        <v>28</v>
      </c>
      <c r="S6" s="81"/>
      <c r="T6" s="81"/>
      <c r="U6" s="78"/>
    </row>
    <row r="7" spans="1:21" x14ac:dyDescent="0.25">
      <c r="A7" s="181"/>
      <c r="B7" s="4">
        <v>3</v>
      </c>
      <c r="C7" s="171">
        <v>26.27</v>
      </c>
      <c r="D7" s="172"/>
      <c r="E7" s="78"/>
      <c r="F7" s="76"/>
      <c r="G7" s="76"/>
      <c r="H7" s="76"/>
      <c r="I7" s="76"/>
      <c r="J7" s="76"/>
      <c r="K7" s="76"/>
      <c r="L7" s="76"/>
      <c r="M7" s="76"/>
      <c r="N7" s="76">
        <f t="shared" si="1"/>
        <v>0</v>
      </c>
      <c r="O7" s="76">
        <f t="shared" si="0"/>
        <v>-26.27</v>
      </c>
      <c r="P7" s="81">
        <f t="shared" si="2"/>
        <v>7</v>
      </c>
      <c r="Q7" s="81">
        <f t="shared" si="3"/>
        <v>14</v>
      </c>
      <c r="R7" s="81">
        <f t="shared" si="4"/>
        <v>28</v>
      </c>
      <c r="S7" s="81"/>
      <c r="T7" s="81"/>
      <c r="U7" s="78" t="s">
        <v>75</v>
      </c>
    </row>
    <row r="8" spans="1:21" x14ac:dyDescent="0.25">
      <c r="A8" s="181"/>
      <c r="B8" s="4">
        <v>4</v>
      </c>
      <c r="C8" s="171">
        <v>26.27</v>
      </c>
      <c r="D8" s="172"/>
      <c r="E8" s="78"/>
      <c r="F8" s="76"/>
      <c r="G8" s="76"/>
      <c r="H8" s="76"/>
      <c r="I8" s="76"/>
      <c r="J8" s="76"/>
      <c r="K8" s="76"/>
      <c r="L8" s="76"/>
      <c r="M8" s="76"/>
      <c r="N8" s="76">
        <f t="shared" si="1"/>
        <v>0</v>
      </c>
      <c r="O8" s="76">
        <f t="shared" si="0"/>
        <v>-26.27</v>
      </c>
      <c r="P8" s="81">
        <f t="shared" si="2"/>
        <v>7</v>
      </c>
      <c r="Q8" s="81">
        <f t="shared" si="3"/>
        <v>14</v>
      </c>
      <c r="R8" s="81">
        <f t="shared" si="4"/>
        <v>28</v>
      </c>
      <c r="S8" s="81"/>
      <c r="T8" s="81"/>
      <c r="U8" s="78"/>
    </row>
    <row r="9" spans="1:21" x14ac:dyDescent="0.25">
      <c r="A9" s="181"/>
      <c r="B9" s="4">
        <v>5</v>
      </c>
      <c r="C9" s="171">
        <v>26.27</v>
      </c>
      <c r="D9" s="172"/>
      <c r="E9" s="78"/>
      <c r="F9" s="76"/>
      <c r="G9" s="76"/>
      <c r="H9" s="76"/>
      <c r="I9" s="76"/>
      <c r="J9" s="76"/>
      <c r="K9" s="76"/>
      <c r="L9" s="76"/>
      <c r="M9" s="76"/>
      <c r="N9" s="76">
        <f t="shared" si="1"/>
        <v>0</v>
      </c>
      <c r="O9" s="76">
        <f t="shared" si="0"/>
        <v>-26.27</v>
      </c>
      <c r="P9" s="81">
        <f t="shared" si="2"/>
        <v>7</v>
      </c>
      <c r="Q9" s="81">
        <f t="shared" si="3"/>
        <v>14</v>
      </c>
      <c r="R9" s="81">
        <f t="shared" si="4"/>
        <v>28</v>
      </c>
      <c r="S9" s="81"/>
      <c r="T9" s="81"/>
      <c r="U9" s="78"/>
    </row>
    <row r="10" spans="1:21" x14ac:dyDescent="0.25">
      <c r="A10" s="181"/>
      <c r="B10" s="4">
        <v>6</v>
      </c>
      <c r="C10" s="171">
        <v>26.27</v>
      </c>
      <c r="D10" s="172"/>
      <c r="E10" s="78"/>
      <c r="F10" s="76"/>
      <c r="G10" s="76"/>
      <c r="H10" s="76"/>
      <c r="I10" s="76"/>
      <c r="J10" s="76"/>
      <c r="K10" s="76"/>
      <c r="L10" s="76"/>
      <c r="M10" s="76"/>
      <c r="N10" s="76">
        <f t="shared" si="1"/>
        <v>0</v>
      </c>
      <c r="O10" s="76">
        <f t="shared" si="0"/>
        <v>-26.27</v>
      </c>
      <c r="P10" s="81">
        <f t="shared" si="2"/>
        <v>7</v>
      </c>
      <c r="Q10" s="81">
        <f t="shared" si="3"/>
        <v>14</v>
      </c>
      <c r="R10" s="81">
        <f t="shared" si="4"/>
        <v>28</v>
      </c>
      <c r="S10" s="81"/>
      <c r="T10" s="81"/>
      <c r="U10" s="78"/>
    </row>
    <row r="11" spans="1:21" x14ac:dyDescent="0.25">
      <c r="A11" s="181"/>
      <c r="B11" s="4">
        <v>7</v>
      </c>
      <c r="C11" s="171">
        <v>26.27</v>
      </c>
      <c r="D11" s="172"/>
      <c r="E11" s="78"/>
      <c r="F11" s="79"/>
      <c r="G11" s="76"/>
      <c r="H11" s="79"/>
      <c r="I11" s="76"/>
      <c r="J11" s="79"/>
      <c r="K11" s="76"/>
      <c r="L11" s="76"/>
      <c r="M11" s="76"/>
      <c r="N11" s="76">
        <f t="shared" si="1"/>
        <v>0</v>
      </c>
      <c r="O11" s="76">
        <f t="shared" si="0"/>
        <v>-26.27</v>
      </c>
      <c r="P11" s="81">
        <f t="shared" si="2"/>
        <v>7</v>
      </c>
      <c r="Q11" s="81">
        <f t="shared" si="3"/>
        <v>14</v>
      </c>
      <c r="R11" s="81">
        <f t="shared" si="4"/>
        <v>28</v>
      </c>
      <c r="S11" s="81"/>
      <c r="T11" s="81"/>
      <c r="U11" s="78"/>
    </row>
    <row r="12" spans="1:21" x14ac:dyDescent="0.25">
      <c r="A12" s="181"/>
      <c r="B12" s="4">
        <v>8</v>
      </c>
      <c r="C12" s="171">
        <v>26.27</v>
      </c>
      <c r="D12" s="172"/>
      <c r="E12" s="78"/>
      <c r="F12" s="76"/>
      <c r="G12" s="76"/>
      <c r="H12" s="76"/>
      <c r="I12" s="76"/>
      <c r="J12" s="76"/>
      <c r="K12" s="76"/>
      <c r="L12" s="76"/>
      <c r="M12" s="76"/>
      <c r="N12" s="76">
        <f t="shared" si="1"/>
        <v>0</v>
      </c>
      <c r="O12" s="76">
        <f t="shared" ref="O12:O18" si="5">N12-C12</f>
        <v>-26.27</v>
      </c>
      <c r="P12" s="81">
        <f t="shared" si="2"/>
        <v>7</v>
      </c>
      <c r="Q12" s="81">
        <f t="shared" si="3"/>
        <v>14</v>
      </c>
      <c r="R12" s="81">
        <f t="shared" si="4"/>
        <v>28</v>
      </c>
      <c r="S12" s="81"/>
      <c r="T12" s="81"/>
      <c r="U12" s="78"/>
    </row>
    <row r="13" spans="1:21" x14ac:dyDescent="0.25">
      <c r="A13" s="181"/>
      <c r="B13" s="4">
        <v>9</v>
      </c>
      <c r="C13" s="171">
        <v>26.27</v>
      </c>
      <c r="D13" s="172"/>
      <c r="E13" s="78"/>
      <c r="F13" s="76"/>
      <c r="G13" s="76"/>
      <c r="H13" s="76"/>
      <c r="I13" s="76"/>
      <c r="J13" s="76"/>
      <c r="K13" s="76"/>
      <c r="L13" s="76"/>
      <c r="M13" s="76"/>
      <c r="N13" s="76">
        <f t="shared" si="1"/>
        <v>0</v>
      </c>
      <c r="O13" s="76">
        <f t="shared" si="5"/>
        <v>-26.27</v>
      </c>
      <c r="P13" s="81">
        <f t="shared" si="2"/>
        <v>7</v>
      </c>
      <c r="Q13" s="81">
        <f t="shared" si="3"/>
        <v>14</v>
      </c>
      <c r="R13" s="81">
        <f t="shared" si="4"/>
        <v>28</v>
      </c>
      <c r="S13" s="81"/>
      <c r="T13" s="81"/>
      <c r="U13" s="78"/>
    </row>
    <row r="14" spans="1:21" x14ac:dyDescent="0.25">
      <c r="A14" s="181"/>
      <c r="B14" s="4">
        <v>10</v>
      </c>
      <c r="C14" s="171">
        <v>26.27</v>
      </c>
      <c r="D14" s="172"/>
      <c r="E14" s="78"/>
      <c r="F14" s="76"/>
      <c r="G14" s="76"/>
      <c r="H14" s="76"/>
      <c r="I14" s="76"/>
      <c r="J14" s="76"/>
      <c r="K14" s="76"/>
      <c r="L14" s="76"/>
      <c r="M14" s="76"/>
      <c r="N14" s="76">
        <f t="shared" si="1"/>
        <v>0</v>
      </c>
      <c r="O14" s="76">
        <f t="shared" si="5"/>
        <v>-26.27</v>
      </c>
      <c r="P14" s="81">
        <f t="shared" si="2"/>
        <v>7</v>
      </c>
      <c r="Q14" s="81">
        <f t="shared" si="3"/>
        <v>14</v>
      </c>
      <c r="R14" s="81">
        <f t="shared" si="4"/>
        <v>28</v>
      </c>
      <c r="S14" s="81"/>
      <c r="T14" s="81"/>
      <c r="U14" s="78"/>
    </row>
    <row r="15" spans="1:21" x14ac:dyDescent="0.25">
      <c r="A15" s="181"/>
      <c r="B15" s="4">
        <v>11</v>
      </c>
      <c r="C15" s="171">
        <v>26.27</v>
      </c>
      <c r="D15" s="172"/>
      <c r="E15" s="78"/>
      <c r="F15" s="79"/>
      <c r="G15" s="76"/>
      <c r="H15" s="79"/>
      <c r="I15" s="76"/>
      <c r="J15" s="79"/>
      <c r="K15" s="76"/>
      <c r="L15" s="76"/>
      <c r="M15" s="76"/>
      <c r="N15" s="76">
        <f t="shared" si="1"/>
        <v>0</v>
      </c>
      <c r="O15" s="76">
        <f t="shared" si="5"/>
        <v>-26.27</v>
      </c>
      <c r="P15" s="81">
        <f t="shared" si="2"/>
        <v>7</v>
      </c>
      <c r="Q15" s="81">
        <f t="shared" si="3"/>
        <v>14</v>
      </c>
      <c r="R15" s="81">
        <f t="shared" si="4"/>
        <v>28</v>
      </c>
      <c r="S15" s="81"/>
      <c r="T15" s="81"/>
      <c r="U15" s="78"/>
    </row>
    <row r="16" spans="1:21" x14ac:dyDescent="0.25">
      <c r="A16" s="181"/>
      <c r="B16" s="4">
        <v>12</v>
      </c>
      <c r="C16" s="171">
        <v>26.27</v>
      </c>
      <c r="D16" s="172"/>
      <c r="E16" s="78"/>
      <c r="F16" s="79"/>
      <c r="G16" s="76"/>
      <c r="H16" s="76"/>
      <c r="I16" s="76"/>
      <c r="J16" s="76"/>
      <c r="K16" s="76"/>
      <c r="L16" s="76"/>
      <c r="M16" s="76"/>
      <c r="N16" s="76">
        <f t="shared" si="1"/>
        <v>0</v>
      </c>
      <c r="O16" s="76">
        <f t="shared" si="5"/>
        <v>-26.27</v>
      </c>
      <c r="P16" s="81">
        <f t="shared" si="2"/>
        <v>7</v>
      </c>
      <c r="Q16" s="81">
        <f t="shared" si="3"/>
        <v>14</v>
      </c>
      <c r="R16" s="81">
        <f t="shared" si="4"/>
        <v>28</v>
      </c>
      <c r="S16" s="81"/>
      <c r="T16" s="81"/>
      <c r="U16" s="78"/>
    </row>
    <row r="17" spans="1:21" x14ac:dyDescent="0.25">
      <c r="A17" s="181"/>
      <c r="B17" s="4">
        <v>13</v>
      </c>
      <c r="C17" s="171">
        <v>26.27</v>
      </c>
      <c r="D17" s="172"/>
      <c r="E17" s="78"/>
      <c r="F17" s="76"/>
      <c r="G17" s="76"/>
      <c r="H17" s="76"/>
      <c r="I17" s="76"/>
      <c r="J17" s="76"/>
      <c r="K17" s="76"/>
      <c r="L17" s="76"/>
      <c r="M17" s="76"/>
      <c r="N17" s="76">
        <f t="shared" si="1"/>
        <v>0</v>
      </c>
      <c r="O17" s="76">
        <f t="shared" si="5"/>
        <v>-26.27</v>
      </c>
      <c r="P17" s="81">
        <f t="shared" si="2"/>
        <v>7</v>
      </c>
      <c r="Q17" s="81">
        <f t="shared" si="3"/>
        <v>14</v>
      </c>
      <c r="R17" s="81">
        <f t="shared" si="4"/>
        <v>28</v>
      </c>
      <c r="S17" s="78"/>
      <c r="T17" s="80"/>
      <c r="U17" s="78"/>
    </row>
    <row r="18" spans="1:21" x14ac:dyDescent="0.25">
      <c r="A18" s="181"/>
      <c r="B18" s="4">
        <v>14</v>
      </c>
      <c r="C18" s="171">
        <v>26.27</v>
      </c>
      <c r="D18" s="172"/>
      <c r="E18" s="78"/>
      <c r="F18" s="79"/>
      <c r="G18" s="76"/>
      <c r="H18" s="79"/>
      <c r="I18" s="76"/>
      <c r="J18" s="79"/>
      <c r="K18" s="76"/>
      <c r="L18" s="79"/>
      <c r="M18" s="76"/>
      <c r="N18" s="76">
        <f t="shared" si="1"/>
        <v>0</v>
      </c>
      <c r="O18" s="76">
        <f t="shared" si="5"/>
        <v>-26.27</v>
      </c>
      <c r="P18" s="81">
        <f t="shared" si="2"/>
        <v>7</v>
      </c>
      <c r="Q18" s="81">
        <f t="shared" si="3"/>
        <v>14</v>
      </c>
      <c r="R18" s="81">
        <f t="shared" si="4"/>
        <v>28</v>
      </c>
      <c r="S18" s="78"/>
      <c r="T18" s="80"/>
      <c r="U18" s="78"/>
    </row>
    <row r="19" spans="1:21" x14ac:dyDescent="0.25">
      <c r="A19" s="181"/>
      <c r="B19" s="4">
        <v>15</v>
      </c>
      <c r="C19" s="171">
        <v>26.27</v>
      </c>
      <c r="D19" s="172"/>
      <c r="E19" s="78"/>
      <c r="F19" s="79"/>
      <c r="G19" s="76"/>
      <c r="H19" s="79"/>
      <c r="I19" s="76"/>
      <c r="J19" s="79"/>
      <c r="K19" s="76"/>
      <c r="L19" s="79"/>
      <c r="M19" s="76"/>
      <c r="N19" s="76">
        <f t="shared" ref="N19:N28" si="6">G19+I19+K19+M19</f>
        <v>0</v>
      </c>
      <c r="O19" s="76">
        <f t="shared" ref="O19:O28" si="7">N19-C19</f>
        <v>-26.27</v>
      </c>
      <c r="P19" s="78">
        <f t="shared" ref="P19:P28" si="8">E19+7</f>
        <v>7</v>
      </c>
      <c r="Q19" s="80">
        <f t="shared" ref="Q19:Q28" si="9">E19+14</f>
        <v>14</v>
      </c>
      <c r="R19" s="78">
        <f t="shared" ref="R19:R28" si="10">E19+28</f>
        <v>28</v>
      </c>
      <c r="S19" s="78"/>
      <c r="T19" s="80"/>
      <c r="U19" s="78"/>
    </row>
    <row r="20" spans="1:21" x14ac:dyDescent="0.25">
      <c r="A20" s="181"/>
      <c r="B20" s="4">
        <v>16</v>
      </c>
      <c r="C20" s="171">
        <v>26.27</v>
      </c>
      <c r="D20" s="172"/>
      <c r="E20" s="78"/>
      <c r="F20" s="79"/>
      <c r="G20" s="76"/>
      <c r="H20" s="79"/>
      <c r="I20" s="76"/>
      <c r="J20" s="79"/>
      <c r="K20" s="76"/>
      <c r="L20" s="79"/>
      <c r="M20" s="76"/>
      <c r="N20" s="76">
        <f t="shared" si="6"/>
        <v>0</v>
      </c>
      <c r="O20" s="76">
        <f t="shared" si="7"/>
        <v>-26.27</v>
      </c>
      <c r="P20" s="78">
        <f t="shared" si="8"/>
        <v>7</v>
      </c>
      <c r="Q20" s="80">
        <f t="shared" si="9"/>
        <v>14</v>
      </c>
      <c r="R20" s="78">
        <f t="shared" si="10"/>
        <v>28</v>
      </c>
      <c r="S20" s="78"/>
      <c r="T20" s="80"/>
      <c r="U20" s="78"/>
    </row>
    <row r="21" spans="1:21" x14ac:dyDescent="0.25">
      <c r="A21" s="181"/>
      <c r="B21" s="4">
        <v>17</v>
      </c>
      <c r="C21" s="171">
        <v>26.27</v>
      </c>
      <c r="D21" s="172"/>
      <c r="E21" s="78"/>
      <c r="F21" s="79"/>
      <c r="G21" s="76"/>
      <c r="H21" s="79"/>
      <c r="I21" s="76"/>
      <c r="J21" s="79"/>
      <c r="K21" s="76"/>
      <c r="L21" s="79"/>
      <c r="M21" s="76"/>
      <c r="N21" s="76">
        <f t="shared" si="6"/>
        <v>0</v>
      </c>
      <c r="O21" s="76">
        <f t="shared" si="7"/>
        <v>-26.27</v>
      </c>
      <c r="P21" s="78">
        <f t="shared" si="8"/>
        <v>7</v>
      </c>
      <c r="Q21" s="80">
        <f t="shared" si="9"/>
        <v>14</v>
      </c>
      <c r="R21" s="78">
        <f t="shared" si="10"/>
        <v>28</v>
      </c>
      <c r="S21" s="78"/>
      <c r="T21" s="80"/>
      <c r="U21" s="78"/>
    </row>
    <row r="22" spans="1:21" x14ac:dyDescent="0.25">
      <c r="A22" s="181"/>
      <c r="B22" s="4">
        <v>18</v>
      </c>
      <c r="C22" s="171">
        <v>26.27</v>
      </c>
      <c r="D22" s="172"/>
      <c r="E22" s="78"/>
      <c r="F22" s="79"/>
      <c r="G22" s="76"/>
      <c r="H22" s="79"/>
      <c r="I22" s="76"/>
      <c r="J22" s="79"/>
      <c r="K22" s="76"/>
      <c r="L22" s="79"/>
      <c r="M22" s="76"/>
      <c r="N22" s="76">
        <f t="shared" si="6"/>
        <v>0</v>
      </c>
      <c r="O22" s="76">
        <f t="shared" si="7"/>
        <v>-26.27</v>
      </c>
      <c r="P22" s="78">
        <f t="shared" si="8"/>
        <v>7</v>
      </c>
      <c r="Q22" s="80">
        <f t="shared" si="9"/>
        <v>14</v>
      </c>
      <c r="R22" s="78">
        <f t="shared" si="10"/>
        <v>28</v>
      </c>
      <c r="S22" s="78"/>
      <c r="T22" s="80"/>
      <c r="U22" s="78"/>
    </row>
    <row r="23" spans="1:21" x14ac:dyDescent="0.25">
      <c r="A23" s="181"/>
      <c r="B23" s="4">
        <v>19</v>
      </c>
      <c r="C23" s="171">
        <v>26.27</v>
      </c>
      <c r="D23" s="172"/>
      <c r="E23" s="78"/>
      <c r="F23" s="79"/>
      <c r="G23" s="76"/>
      <c r="H23" s="79"/>
      <c r="I23" s="76"/>
      <c r="J23" s="79"/>
      <c r="K23" s="76"/>
      <c r="L23" s="79"/>
      <c r="M23" s="76"/>
      <c r="N23" s="76">
        <f t="shared" si="6"/>
        <v>0</v>
      </c>
      <c r="O23" s="76">
        <f t="shared" si="7"/>
        <v>-26.27</v>
      </c>
      <c r="P23" s="78">
        <f t="shared" si="8"/>
        <v>7</v>
      </c>
      <c r="Q23" s="80">
        <f t="shared" si="9"/>
        <v>14</v>
      </c>
      <c r="R23" s="78">
        <f t="shared" si="10"/>
        <v>28</v>
      </c>
      <c r="S23" s="78"/>
      <c r="T23" s="80"/>
      <c r="U23" s="78"/>
    </row>
    <row r="24" spans="1:21" x14ac:dyDescent="0.25">
      <c r="A24" s="181"/>
      <c r="B24" s="4">
        <v>20</v>
      </c>
      <c r="C24" s="171">
        <v>26.27</v>
      </c>
      <c r="D24" s="172"/>
      <c r="E24" s="78"/>
      <c r="F24" s="79"/>
      <c r="G24" s="76"/>
      <c r="H24" s="79"/>
      <c r="I24" s="76"/>
      <c r="J24" s="79"/>
      <c r="K24" s="76"/>
      <c r="L24" s="79"/>
      <c r="M24" s="76"/>
      <c r="N24" s="76">
        <f t="shared" ref="N24:N27" si="11">G24+I24+K24+M24</f>
        <v>0</v>
      </c>
      <c r="O24" s="76">
        <f t="shared" ref="O24:O27" si="12">N24-C24</f>
        <v>-26.27</v>
      </c>
      <c r="P24" s="78">
        <f t="shared" ref="P24:P27" si="13">E24+7</f>
        <v>7</v>
      </c>
      <c r="Q24" s="80">
        <f t="shared" ref="Q24:Q27" si="14">E24+14</f>
        <v>14</v>
      </c>
      <c r="R24" s="78">
        <f t="shared" ref="R24:R27" si="15">E24+28</f>
        <v>28</v>
      </c>
      <c r="S24" s="78"/>
      <c r="T24" s="80"/>
      <c r="U24" s="78"/>
    </row>
    <row r="25" spans="1:21" x14ac:dyDescent="0.25">
      <c r="A25" s="181"/>
      <c r="B25" s="4">
        <v>21</v>
      </c>
      <c r="C25" s="171">
        <v>26.27</v>
      </c>
      <c r="D25" s="172"/>
      <c r="E25" s="78"/>
      <c r="F25" s="79"/>
      <c r="G25" s="76"/>
      <c r="H25" s="79"/>
      <c r="I25" s="76"/>
      <c r="J25" s="79"/>
      <c r="K25" s="76"/>
      <c r="L25" s="79"/>
      <c r="M25" s="76"/>
      <c r="N25" s="76">
        <f t="shared" si="11"/>
        <v>0</v>
      </c>
      <c r="O25" s="76">
        <f t="shared" si="12"/>
        <v>-26.27</v>
      </c>
      <c r="P25" s="78">
        <f t="shared" si="13"/>
        <v>7</v>
      </c>
      <c r="Q25" s="80">
        <f t="shared" si="14"/>
        <v>14</v>
      </c>
      <c r="R25" s="78">
        <f t="shared" si="15"/>
        <v>28</v>
      </c>
      <c r="S25" s="78"/>
      <c r="T25" s="80"/>
      <c r="U25" s="78"/>
    </row>
    <row r="26" spans="1:21" x14ac:dyDescent="0.25">
      <c r="A26" s="181"/>
      <c r="B26" s="4">
        <v>22</v>
      </c>
      <c r="C26" s="171">
        <v>26.27</v>
      </c>
      <c r="D26" s="172"/>
      <c r="E26" s="78"/>
      <c r="F26" s="79"/>
      <c r="G26" s="76"/>
      <c r="H26" s="79"/>
      <c r="I26" s="76"/>
      <c r="J26" s="79"/>
      <c r="K26" s="76"/>
      <c r="L26" s="79"/>
      <c r="M26" s="76"/>
      <c r="N26" s="76">
        <f t="shared" si="11"/>
        <v>0</v>
      </c>
      <c r="O26" s="76">
        <f t="shared" si="12"/>
        <v>-26.27</v>
      </c>
      <c r="P26" s="78">
        <f t="shared" si="13"/>
        <v>7</v>
      </c>
      <c r="Q26" s="80">
        <f t="shared" si="14"/>
        <v>14</v>
      </c>
      <c r="R26" s="78">
        <f t="shared" si="15"/>
        <v>28</v>
      </c>
      <c r="S26" s="78"/>
      <c r="T26" s="80"/>
      <c r="U26" s="78"/>
    </row>
    <row r="27" spans="1:21" x14ac:dyDescent="0.25">
      <c r="A27" s="181"/>
      <c r="B27" s="4">
        <v>23</v>
      </c>
      <c r="C27" s="171">
        <v>26.27</v>
      </c>
      <c r="D27" s="172"/>
      <c r="E27" s="78"/>
      <c r="F27" s="79"/>
      <c r="G27" s="76"/>
      <c r="H27" s="79"/>
      <c r="I27" s="76"/>
      <c r="J27" s="79"/>
      <c r="K27" s="76"/>
      <c r="L27" s="79"/>
      <c r="M27" s="76"/>
      <c r="N27" s="76">
        <f t="shared" si="11"/>
        <v>0</v>
      </c>
      <c r="O27" s="76">
        <f t="shared" si="12"/>
        <v>-26.27</v>
      </c>
      <c r="P27" s="78">
        <f t="shared" si="13"/>
        <v>7</v>
      </c>
      <c r="Q27" s="80">
        <f t="shared" si="14"/>
        <v>14</v>
      </c>
      <c r="R27" s="78">
        <f t="shared" si="15"/>
        <v>28</v>
      </c>
      <c r="S27" s="78"/>
      <c r="T27" s="80"/>
      <c r="U27" s="78"/>
    </row>
    <row r="28" spans="1:21" x14ac:dyDescent="0.25">
      <c r="A28" s="182"/>
      <c r="B28" s="4">
        <v>24</v>
      </c>
      <c r="C28" s="171">
        <v>26.27</v>
      </c>
      <c r="D28" s="172"/>
      <c r="E28" s="78"/>
      <c r="F28" s="79"/>
      <c r="G28" s="76"/>
      <c r="H28" s="79"/>
      <c r="I28" s="76"/>
      <c r="J28" s="79"/>
      <c r="K28" s="76"/>
      <c r="L28" s="79"/>
      <c r="M28" s="76"/>
      <c r="N28" s="76">
        <f t="shared" si="6"/>
        <v>0</v>
      </c>
      <c r="O28" s="76">
        <f t="shared" si="7"/>
        <v>-26.27</v>
      </c>
      <c r="P28" s="78">
        <f t="shared" si="8"/>
        <v>7</v>
      </c>
      <c r="Q28" s="80">
        <f t="shared" si="9"/>
        <v>14</v>
      </c>
      <c r="R28" s="78">
        <f t="shared" si="10"/>
        <v>28</v>
      </c>
      <c r="S28" s="78"/>
      <c r="T28" s="80"/>
      <c r="U28" s="78"/>
    </row>
    <row r="29" spans="1:21" x14ac:dyDescent="0.25">
      <c r="A29" s="74" t="s">
        <v>68</v>
      </c>
      <c r="B29" s="77"/>
      <c r="C29" s="171">
        <f>SUM(C5:D28)</f>
        <v>630.47999999999979</v>
      </c>
      <c r="D29" s="172"/>
      <c r="E29" s="174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</row>
  </sheetData>
  <autoFilter ref="A1:U29" xr:uid="{71639539-C077-4C7C-84BE-15E82EE3C7B9}">
    <filterColumn colId="0" showButton="0"/>
    <filterColumn colId="2" showButton="0"/>
  </autoFilter>
  <mergeCells count="46">
    <mergeCell ref="T1:T4"/>
    <mergeCell ref="U1:U4"/>
    <mergeCell ref="E29:U29"/>
    <mergeCell ref="S1:S4"/>
    <mergeCell ref="F1:F4"/>
    <mergeCell ref="H1:H4"/>
    <mergeCell ref="J1:J4"/>
    <mergeCell ref="L1:L4"/>
    <mergeCell ref="N1:N4"/>
    <mergeCell ref="G1:G4"/>
    <mergeCell ref="I1:I4"/>
    <mergeCell ref="K1:K4"/>
    <mergeCell ref="M1:M4"/>
    <mergeCell ref="Q1:Q4"/>
    <mergeCell ref="C18:D18"/>
    <mergeCell ref="C29:D29"/>
    <mergeCell ref="C24:D24"/>
    <mergeCell ref="C25:D25"/>
    <mergeCell ref="O1:O4"/>
    <mergeCell ref="C23:D23"/>
    <mergeCell ref="C11:D11"/>
    <mergeCell ref="C12:D12"/>
    <mergeCell ref="C26:D26"/>
    <mergeCell ref="C27:D27"/>
    <mergeCell ref="C28:D28"/>
    <mergeCell ref="C13:D13"/>
    <mergeCell ref="C14:D14"/>
    <mergeCell ref="C15:D15"/>
    <mergeCell ref="C16:D16"/>
    <mergeCell ref="C17:D17"/>
    <mergeCell ref="A1:B3"/>
    <mergeCell ref="P1:P4"/>
    <mergeCell ref="R1:R4"/>
    <mergeCell ref="C9:D9"/>
    <mergeCell ref="C10:D10"/>
    <mergeCell ref="E1:E4"/>
    <mergeCell ref="C1:D4"/>
    <mergeCell ref="C5:D5"/>
    <mergeCell ref="C6:D6"/>
    <mergeCell ref="C7:D7"/>
    <mergeCell ref="C8:D8"/>
    <mergeCell ref="A5:A28"/>
    <mergeCell ref="C19:D19"/>
    <mergeCell ref="C20:D20"/>
    <mergeCell ref="C21:D21"/>
    <mergeCell ref="C22:D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5870-E285-47FD-A5D0-F69F6CC87B11}">
  <dimension ref="A1:U29"/>
  <sheetViews>
    <sheetView tabSelected="1" zoomScale="70" zoomScaleNormal="70" workbookViewId="0">
      <selection activeCell="G18" sqref="G18"/>
    </sheetView>
  </sheetViews>
  <sheetFormatPr defaultRowHeight="15" x14ac:dyDescent="0.25"/>
  <cols>
    <col min="2" max="3" width="10.7109375" customWidth="1"/>
    <col min="4" max="4" width="11.28515625" customWidth="1"/>
    <col min="5" max="5" width="16.7109375" customWidth="1"/>
    <col min="6" max="15" width="16.85546875" customWidth="1"/>
    <col min="16" max="17" width="17.140625" customWidth="1"/>
    <col min="18" max="18" width="18.140625" customWidth="1"/>
    <col min="19" max="20" width="17.28515625" customWidth="1"/>
    <col min="21" max="21" width="18.7109375" customWidth="1"/>
  </cols>
  <sheetData>
    <row r="1" spans="1:21" ht="15" customHeight="1" x14ac:dyDescent="0.25">
      <c r="A1" s="128" t="s">
        <v>89</v>
      </c>
      <c r="B1" s="128"/>
      <c r="C1" s="174" t="s">
        <v>69</v>
      </c>
      <c r="D1" s="175"/>
      <c r="E1" s="173" t="s">
        <v>67</v>
      </c>
      <c r="F1" s="183" t="s">
        <v>70</v>
      </c>
      <c r="G1" s="187" t="s">
        <v>71</v>
      </c>
      <c r="H1" s="183" t="s">
        <v>70</v>
      </c>
      <c r="I1" s="187" t="s">
        <v>71</v>
      </c>
      <c r="J1" s="183" t="s">
        <v>70</v>
      </c>
      <c r="K1" s="187" t="s">
        <v>71</v>
      </c>
      <c r="L1" s="183" t="s">
        <v>70</v>
      </c>
      <c r="M1" s="187" t="s">
        <v>71</v>
      </c>
      <c r="N1" s="183" t="s">
        <v>68</v>
      </c>
      <c r="O1" s="183" t="s">
        <v>74</v>
      </c>
      <c r="P1" s="170" t="s">
        <v>72</v>
      </c>
      <c r="Q1" s="170" t="s">
        <v>78</v>
      </c>
      <c r="R1" s="170" t="s">
        <v>73</v>
      </c>
      <c r="S1" s="170" t="s">
        <v>76</v>
      </c>
      <c r="T1" s="170" t="s">
        <v>79</v>
      </c>
      <c r="U1" s="170" t="s">
        <v>77</v>
      </c>
    </row>
    <row r="2" spans="1:21" x14ac:dyDescent="0.25">
      <c r="A2" s="128"/>
      <c r="B2" s="128"/>
      <c r="C2" s="176"/>
      <c r="D2" s="177"/>
      <c r="E2" s="173"/>
      <c r="F2" s="184"/>
      <c r="G2" s="188"/>
      <c r="H2" s="184"/>
      <c r="I2" s="188"/>
      <c r="J2" s="184"/>
      <c r="K2" s="188"/>
      <c r="L2" s="184"/>
      <c r="M2" s="188"/>
      <c r="N2" s="184"/>
      <c r="O2" s="184"/>
      <c r="P2" s="170"/>
      <c r="Q2" s="170"/>
      <c r="R2" s="170"/>
      <c r="S2" s="170"/>
      <c r="T2" s="170"/>
      <c r="U2" s="170"/>
    </row>
    <row r="3" spans="1:21" ht="15" customHeight="1" x14ac:dyDescent="0.25">
      <c r="A3" s="128"/>
      <c r="B3" s="128"/>
      <c r="C3" s="176"/>
      <c r="D3" s="177"/>
      <c r="E3" s="173"/>
      <c r="F3" s="184"/>
      <c r="G3" s="188"/>
      <c r="H3" s="184"/>
      <c r="I3" s="188"/>
      <c r="J3" s="184"/>
      <c r="K3" s="188"/>
      <c r="L3" s="184"/>
      <c r="M3" s="188"/>
      <c r="N3" s="184"/>
      <c r="O3" s="184"/>
      <c r="P3" s="170"/>
      <c r="Q3" s="170"/>
      <c r="R3" s="170"/>
      <c r="S3" s="170"/>
      <c r="T3" s="170"/>
      <c r="U3" s="170"/>
    </row>
    <row r="4" spans="1:21" x14ac:dyDescent="0.25">
      <c r="A4" s="2" t="s">
        <v>0</v>
      </c>
      <c r="B4" s="75" t="s">
        <v>88</v>
      </c>
      <c r="C4" s="178"/>
      <c r="D4" s="179"/>
      <c r="E4" s="173"/>
      <c r="F4" s="185"/>
      <c r="G4" s="189"/>
      <c r="H4" s="185"/>
      <c r="I4" s="189"/>
      <c r="J4" s="185"/>
      <c r="K4" s="189"/>
      <c r="L4" s="185"/>
      <c r="M4" s="189"/>
      <c r="N4" s="185"/>
      <c r="O4" s="185"/>
      <c r="P4" s="170"/>
      <c r="Q4" s="170"/>
      <c r="R4" s="170"/>
      <c r="S4" s="170"/>
      <c r="T4" s="170"/>
      <c r="U4" s="170"/>
    </row>
    <row r="5" spans="1:21" x14ac:dyDescent="0.25">
      <c r="A5" s="180" t="s">
        <v>5</v>
      </c>
      <c r="B5" s="4">
        <v>1</v>
      </c>
      <c r="C5" s="171">
        <v>27.4</v>
      </c>
      <c r="D5" s="172"/>
      <c r="E5" s="78"/>
      <c r="F5" s="76"/>
      <c r="G5" s="76"/>
      <c r="H5" s="76"/>
      <c r="I5" s="76"/>
      <c r="J5" s="76"/>
      <c r="K5" s="76"/>
      <c r="L5" s="76"/>
      <c r="M5" s="76"/>
      <c r="N5" s="76">
        <f>G5+I5+K5+M5</f>
        <v>0</v>
      </c>
      <c r="O5" s="76">
        <f t="shared" ref="O5:O28" si="0">N5-C5</f>
        <v>-27.4</v>
      </c>
      <c r="P5" s="81">
        <f>E5+7</f>
        <v>7</v>
      </c>
      <c r="Q5" s="81">
        <f>E5+14</f>
        <v>14</v>
      </c>
      <c r="R5" s="81">
        <f>E5+28</f>
        <v>28</v>
      </c>
      <c r="S5" s="81"/>
      <c r="T5" s="81"/>
      <c r="U5" s="78"/>
    </row>
    <row r="6" spans="1:21" x14ac:dyDescent="0.25">
      <c r="A6" s="181"/>
      <c r="B6" s="4">
        <v>2</v>
      </c>
      <c r="C6" s="171">
        <v>27.4</v>
      </c>
      <c r="D6" s="172"/>
      <c r="E6" s="78">
        <v>46253</v>
      </c>
      <c r="F6" s="76"/>
      <c r="G6" s="76"/>
      <c r="H6" s="76"/>
      <c r="I6" s="76"/>
      <c r="J6" s="76"/>
      <c r="K6" s="76"/>
      <c r="L6" s="76"/>
      <c r="M6" s="76"/>
      <c r="N6" s="76">
        <f t="shared" ref="N6:N28" si="1">G6+I6+K6+M6</f>
        <v>0</v>
      </c>
      <c r="O6" s="76">
        <f t="shared" si="0"/>
        <v>-27.4</v>
      </c>
      <c r="P6" s="81">
        <f t="shared" ref="P6:P28" si="2">E6+7</f>
        <v>46260</v>
      </c>
      <c r="Q6" s="81">
        <f t="shared" ref="Q6:Q28" si="3">E6+14</f>
        <v>46267</v>
      </c>
      <c r="R6" s="81">
        <f t="shared" ref="R6:R28" si="4">E6+28</f>
        <v>46281</v>
      </c>
      <c r="S6" s="81"/>
      <c r="T6" s="81"/>
      <c r="U6" s="78"/>
    </row>
    <row r="7" spans="1:21" x14ac:dyDescent="0.25">
      <c r="A7" s="181"/>
      <c r="B7" s="4">
        <v>3</v>
      </c>
      <c r="C7" s="171">
        <v>27.4</v>
      </c>
      <c r="D7" s="172"/>
      <c r="E7" s="78">
        <v>46252</v>
      </c>
      <c r="F7" s="76"/>
      <c r="G7" s="76"/>
      <c r="H7" s="76"/>
      <c r="I7" s="76"/>
      <c r="J7" s="76"/>
      <c r="K7" s="76"/>
      <c r="L7" s="76"/>
      <c r="M7" s="76"/>
      <c r="N7" s="76">
        <f t="shared" si="1"/>
        <v>0</v>
      </c>
      <c r="O7" s="76">
        <f t="shared" si="0"/>
        <v>-27.4</v>
      </c>
      <c r="P7" s="81">
        <f t="shared" si="2"/>
        <v>46259</v>
      </c>
      <c r="Q7" s="81">
        <f t="shared" si="3"/>
        <v>46266</v>
      </c>
      <c r="R7" s="81">
        <f t="shared" si="4"/>
        <v>46280</v>
      </c>
      <c r="S7" s="81"/>
      <c r="T7" s="81"/>
      <c r="U7" s="78" t="s">
        <v>75</v>
      </c>
    </row>
    <row r="8" spans="1:21" x14ac:dyDescent="0.25">
      <c r="A8" s="181"/>
      <c r="B8" s="4">
        <v>4</v>
      </c>
      <c r="C8" s="171">
        <v>27.4</v>
      </c>
      <c r="D8" s="172"/>
      <c r="E8" s="78">
        <v>46248</v>
      </c>
      <c r="F8" s="76"/>
      <c r="G8" s="76"/>
      <c r="H8" s="76"/>
      <c r="I8" s="76"/>
      <c r="J8" s="76"/>
      <c r="K8" s="76"/>
      <c r="L8" s="76"/>
      <c r="M8" s="76"/>
      <c r="N8" s="76">
        <f t="shared" si="1"/>
        <v>0</v>
      </c>
      <c r="O8" s="76">
        <f t="shared" si="0"/>
        <v>-27.4</v>
      </c>
      <c r="P8" s="81">
        <f t="shared" si="2"/>
        <v>46255</v>
      </c>
      <c r="Q8" s="81">
        <f t="shared" si="3"/>
        <v>46262</v>
      </c>
      <c r="R8" s="81">
        <f t="shared" si="4"/>
        <v>46276</v>
      </c>
      <c r="S8" s="81"/>
      <c r="T8" s="81"/>
      <c r="U8" s="78"/>
    </row>
    <row r="9" spans="1:21" x14ac:dyDescent="0.25">
      <c r="A9" s="181"/>
      <c r="B9" s="4">
        <v>5</v>
      </c>
      <c r="C9" s="171">
        <v>27.4</v>
      </c>
      <c r="D9" s="172"/>
      <c r="E9" s="78">
        <v>46251</v>
      </c>
      <c r="F9" s="76"/>
      <c r="G9" s="76"/>
      <c r="H9" s="76"/>
      <c r="I9" s="76"/>
      <c r="J9" s="76"/>
      <c r="K9" s="76"/>
      <c r="L9" s="76"/>
      <c r="M9" s="76"/>
      <c r="N9" s="76">
        <f t="shared" si="1"/>
        <v>0</v>
      </c>
      <c r="O9" s="76">
        <f t="shared" si="0"/>
        <v>-27.4</v>
      </c>
      <c r="P9" s="81">
        <f t="shared" si="2"/>
        <v>46258</v>
      </c>
      <c r="Q9" s="81">
        <f t="shared" si="3"/>
        <v>46265</v>
      </c>
      <c r="R9" s="81">
        <f t="shared" si="4"/>
        <v>46279</v>
      </c>
      <c r="S9" s="81"/>
      <c r="T9" s="81"/>
      <c r="U9" s="78"/>
    </row>
    <row r="10" spans="1:21" x14ac:dyDescent="0.25">
      <c r="A10" s="181"/>
      <c r="B10" s="4">
        <v>6</v>
      </c>
      <c r="C10" s="171">
        <v>27.4</v>
      </c>
      <c r="D10" s="172"/>
      <c r="E10" s="78">
        <v>46247</v>
      </c>
      <c r="F10" s="114" t="s">
        <v>794</v>
      </c>
      <c r="G10" s="76">
        <v>9</v>
      </c>
      <c r="H10" s="114" t="s">
        <v>795</v>
      </c>
      <c r="I10" s="76">
        <v>9</v>
      </c>
      <c r="J10" s="114" t="s">
        <v>796</v>
      </c>
      <c r="K10" s="76">
        <v>9</v>
      </c>
      <c r="L10" s="76"/>
      <c r="M10" s="76"/>
      <c r="N10" s="76">
        <f t="shared" si="1"/>
        <v>27</v>
      </c>
      <c r="O10" s="76">
        <f t="shared" si="0"/>
        <v>-0.39999999999999858</v>
      </c>
      <c r="P10" s="81">
        <f t="shared" si="2"/>
        <v>46254</v>
      </c>
      <c r="Q10" s="81">
        <f t="shared" si="3"/>
        <v>46261</v>
      </c>
      <c r="R10" s="81">
        <f t="shared" si="4"/>
        <v>46275</v>
      </c>
      <c r="S10" s="81"/>
      <c r="T10" s="81"/>
      <c r="U10" s="78"/>
    </row>
    <row r="11" spans="1:21" x14ac:dyDescent="0.25">
      <c r="A11" s="181"/>
      <c r="B11" s="4">
        <v>7</v>
      </c>
      <c r="C11" s="171">
        <v>27.4</v>
      </c>
      <c r="D11" s="172"/>
      <c r="E11" s="78">
        <v>46250</v>
      </c>
      <c r="F11" s="79"/>
      <c r="G11" s="76"/>
      <c r="H11" s="79"/>
      <c r="I11" s="76"/>
      <c r="J11" s="79"/>
      <c r="K11" s="76"/>
      <c r="L11" s="76"/>
      <c r="M11" s="76"/>
      <c r="N11" s="76">
        <f t="shared" si="1"/>
        <v>0</v>
      </c>
      <c r="O11" s="76">
        <f t="shared" si="0"/>
        <v>-27.4</v>
      </c>
      <c r="P11" s="81">
        <f t="shared" si="2"/>
        <v>46257</v>
      </c>
      <c r="Q11" s="81">
        <f t="shared" si="3"/>
        <v>46264</v>
      </c>
      <c r="R11" s="81">
        <f t="shared" si="4"/>
        <v>46278</v>
      </c>
      <c r="S11" s="81"/>
      <c r="T11" s="81"/>
      <c r="U11" s="78"/>
    </row>
    <row r="12" spans="1:21" x14ac:dyDescent="0.25">
      <c r="A12" s="181"/>
      <c r="B12" s="4">
        <v>8</v>
      </c>
      <c r="C12" s="171">
        <v>27.4</v>
      </c>
      <c r="D12" s="172"/>
      <c r="E12" s="78">
        <v>46247</v>
      </c>
      <c r="F12" s="114" t="s">
        <v>791</v>
      </c>
      <c r="G12" s="76">
        <v>9</v>
      </c>
      <c r="H12" s="114" t="s">
        <v>792</v>
      </c>
      <c r="I12" s="76">
        <v>9</v>
      </c>
      <c r="J12" s="114" t="s">
        <v>793</v>
      </c>
      <c r="K12" s="76">
        <v>9</v>
      </c>
      <c r="L12" s="76"/>
      <c r="M12" s="76"/>
      <c r="N12" s="76">
        <f t="shared" si="1"/>
        <v>27</v>
      </c>
      <c r="O12" s="76">
        <f t="shared" si="0"/>
        <v>-0.39999999999999858</v>
      </c>
      <c r="P12" s="81">
        <f t="shared" si="2"/>
        <v>46254</v>
      </c>
      <c r="Q12" s="81">
        <f t="shared" si="3"/>
        <v>46261</v>
      </c>
      <c r="R12" s="81">
        <f t="shared" si="4"/>
        <v>46275</v>
      </c>
      <c r="S12" s="81"/>
      <c r="T12" s="81"/>
      <c r="U12" s="78"/>
    </row>
    <row r="13" spans="1:21" x14ac:dyDescent="0.25">
      <c r="A13" s="181"/>
      <c r="B13" s="4">
        <v>9</v>
      </c>
      <c r="C13" s="171">
        <v>27.4</v>
      </c>
      <c r="D13" s="172"/>
      <c r="E13" s="78">
        <v>46250</v>
      </c>
      <c r="F13" s="76"/>
      <c r="G13" s="76"/>
      <c r="H13" s="76"/>
      <c r="I13" s="76"/>
      <c r="J13" s="76"/>
      <c r="K13" s="76"/>
      <c r="L13" s="76"/>
      <c r="M13" s="76"/>
      <c r="N13" s="76">
        <f t="shared" si="1"/>
        <v>0</v>
      </c>
      <c r="O13" s="76">
        <f t="shared" si="0"/>
        <v>-27.4</v>
      </c>
      <c r="P13" s="81">
        <f t="shared" si="2"/>
        <v>46257</v>
      </c>
      <c r="Q13" s="81">
        <f t="shared" si="3"/>
        <v>46264</v>
      </c>
      <c r="R13" s="81">
        <f t="shared" si="4"/>
        <v>46278</v>
      </c>
      <c r="S13" s="81"/>
      <c r="T13" s="81"/>
      <c r="U13" s="78"/>
    </row>
    <row r="14" spans="1:21" x14ac:dyDescent="0.25">
      <c r="A14" s="181"/>
      <c r="B14" s="4">
        <v>10</v>
      </c>
      <c r="C14" s="171">
        <v>27.4</v>
      </c>
      <c r="D14" s="172"/>
      <c r="E14" s="78">
        <v>46246</v>
      </c>
      <c r="F14" s="114" t="s">
        <v>787</v>
      </c>
      <c r="G14" s="76">
        <v>9</v>
      </c>
      <c r="H14" s="114" t="s">
        <v>788</v>
      </c>
      <c r="I14" s="76">
        <v>9.5</v>
      </c>
      <c r="J14" s="114" t="s">
        <v>789</v>
      </c>
      <c r="K14" s="76">
        <v>9.5</v>
      </c>
      <c r="L14" s="76"/>
      <c r="M14" s="76"/>
      <c r="N14" s="76">
        <f t="shared" si="1"/>
        <v>28</v>
      </c>
      <c r="O14" s="76">
        <f t="shared" si="0"/>
        <v>0.60000000000000142</v>
      </c>
      <c r="P14" s="81">
        <f t="shared" si="2"/>
        <v>46253</v>
      </c>
      <c r="Q14" s="81">
        <f t="shared" si="3"/>
        <v>46260</v>
      </c>
      <c r="R14" s="81">
        <f t="shared" si="4"/>
        <v>46274</v>
      </c>
      <c r="S14" s="81"/>
      <c r="T14" s="81"/>
      <c r="U14" s="78"/>
    </row>
    <row r="15" spans="1:21" x14ac:dyDescent="0.25">
      <c r="A15" s="181"/>
      <c r="B15" s="4">
        <v>11</v>
      </c>
      <c r="C15" s="171">
        <v>27.4</v>
      </c>
      <c r="D15" s="172"/>
      <c r="E15" s="78">
        <v>46250</v>
      </c>
      <c r="F15" s="79"/>
      <c r="G15" s="76"/>
      <c r="H15" s="79"/>
      <c r="I15" s="76"/>
      <c r="J15" s="79"/>
      <c r="K15" s="76"/>
      <c r="L15" s="76"/>
      <c r="M15" s="76"/>
      <c r="N15" s="76">
        <f t="shared" si="1"/>
        <v>0</v>
      </c>
      <c r="O15" s="76">
        <f t="shared" si="0"/>
        <v>-27.4</v>
      </c>
      <c r="P15" s="81">
        <f t="shared" si="2"/>
        <v>46257</v>
      </c>
      <c r="Q15" s="81">
        <f t="shared" si="3"/>
        <v>46264</v>
      </c>
      <c r="R15" s="81">
        <f t="shared" si="4"/>
        <v>46278</v>
      </c>
      <c r="S15" s="81"/>
      <c r="T15" s="81"/>
      <c r="U15" s="78"/>
    </row>
    <row r="16" spans="1:21" x14ac:dyDescent="0.25">
      <c r="A16" s="181"/>
      <c r="B16" s="4">
        <v>12</v>
      </c>
      <c r="C16" s="171">
        <v>27.4</v>
      </c>
      <c r="D16" s="172"/>
      <c r="E16" s="78">
        <v>46246</v>
      </c>
      <c r="F16" s="115" t="s">
        <v>784</v>
      </c>
      <c r="G16" s="76">
        <v>9</v>
      </c>
      <c r="H16" s="114" t="s">
        <v>785</v>
      </c>
      <c r="I16" s="76">
        <v>9.5</v>
      </c>
      <c r="J16" s="114" t="s">
        <v>786</v>
      </c>
      <c r="K16" s="76">
        <v>9.5</v>
      </c>
      <c r="L16" s="76"/>
      <c r="M16" s="76"/>
      <c r="N16" s="76">
        <f t="shared" si="1"/>
        <v>28</v>
      </c>
      <c r="O16" s="76">
        <f t="shared" si="0"/>
        <v>0.60000000000000142</v>
      </c>
      <c r="P16" s="81">
        <f t="shared" si="2"/>
        <v>46253</v>
      </c>
      <c r="Q16" s="81">
        <f t="shared" si="3"/>
        <v>46260</v>
      </c>
      <c r="R16" s="81">
        <f t="shared" si="4"/>
        <v>46274</v>
      </c>
      <c r="S16" s="81"/>
      <c r="T16" s="81"/>
      <c r="U16" s="78"/>
    </row>
    <row r="17" spans="1:21" x14ac:dyDescent="0.25">
      <c r="A17" s="181"/>
      <c r="B17" s="4">
        <v>13</v>
      </c>
      <c r="C17" s="171">
        <v>27.4</v>
      </c>
      <c r="D17" s="172"/>
      <c r="E17" s="78">
        <v>46250</v>
      </c>
      <c r="F17" s="76"/>
      <c r="G17" s="76"/>
      <c r="H17" s="76"/>
      <c r="I17" s="76"/>
      <c r="J17" s="76"/>
      <c r="K17" s="76"/>
      <c r="L17" s="76"/>
      <c r="M17" s="76"/>
      <c r="N17" s="76">
        <f t="shared" si="1"/>
        <v>0</v>
      </c>
      <c r="O17" s="76">
        <f t="shared" si="0"/>
        <v>-27.4</v>
      </c>
      <c r="P17" s="81">
        <f t="shared" si="2"/>
        <v>46257</v>
      </c>
      <c r="Q17" s="81">
        <f t="shared" si="3"/>
        <v>46264</v>
      </c>
      <c r="R17" s="81">
        <f t="shared" si="4"/>
        <v>46278</v>
      </c>
      <c r="S17" s="78"/>
      <c r="T17" s="80"/>
      <c r="U17" s="78"/>
    </row>
    <row r="18" spans="1:21" x14ac:dyDescent="0.25">
      <c r="A18" s="181"/>
      <c r="B18" s="4">
        <v>14</v>
      </c>
      <c r="C18" s="171">
        <v>27.4</v>
      </c>
      <c r="D18" s="172"/>
      <c r="E18" s="78">
        <v>46251</v>
      </c>
      <c r="F18" s="79"/>
      <c r="G18" s="76"/>
      <c r="H18" s="79"/>
      <c r="I18" s="76"/>
      <c r="J18" s="79"/>
      <c r="K18" s="76"/>
      <c r="L18" s="79"/>
      <c r="M18" s="76"/>
      <c r="N18" s="76">
        <f t="shared" si="1"/>
        <v>0</v>
      </c>
      <c r="O18" s="76">
        <f t="shared" si="0"/>
        <v>-27.4</v>
      </c>
      <c r="P18" s="81">
        <f t="shared" si="2"/>
        <v>46258</v>
      </c>
      <c r="Q18" s="81">
        <f t="shared" si="3"/>
        <v>46265</v>
      </c>
      <c r="R18" s="81">
        <f t="shared" si="4"/>
        <v>46279</v>
      </c>
      <c r="S18" s="78"/>
      <c r="T18" s="80"/>
      <c r="U18" s="78"/>
    </row>
    <row r="19" spans="1:21" x14ac:dyDescent="0.25">
      <c r="A19" s="181"/>
      <c r="B19" s="4">
        <v>15</v>
      </c>
      <c r="C19" s="171">
        <v>27.4</v>
      </c>
      <c r="D19" s="172"/>
      <c r="E19" s="78">
        <v>46249</v>
      </c>
      <c r="F19" s="79"/>
      <c r="G19" s="76"/>
      <c r="H19" s="79"/>
      <c r="I19" s="76"/>
      <c r="J19" s="79"/>
      <c r="K19" s="76"/>
      <c r="L19" s="79"/>
      <c r="M19" s="76"/>
      <c r="N19" s="76">
        <f t="shared" si="1"/>
        <v>0</v>
      </c>
      <c r="O19" s="76">
        <f t="shared" si="0"/>
        <v>-27.4</v>
      </c>
      <c r="P19" s="78">
        <f t="shared" si="2"/>
        <v>46256</v>
      </c>
      <c r="Q19" s="80">
        <f t="shared" si="3"/>
        <v>46263</v>
      </c>
      <c r="R19" s="78">
        <f t="shared" si="4"/>
        <v>46277</v>
      </c>
      <c r="S19" s="78"/>
      <c r="T19" s="80"/>
      <c r="U19" s="78"/>
    </row>
    <row r="20" spans="1:21" x14ac:dyDescent="0.25">
      <c r="A20" s="181"/>
      <c r="B20" s="4">
        <v>16</v>
      </c>
      <c r="C20" s="171">
        <v>27.4</v>
      </c>
      <c r="D20" s="172"/>
      <c r="E20" s="78">
        <v>46251</v>
      </c>
      <c r="F20" s="79"/>
      <c r="G20" s="76"/>
      <c r="H20" s="79"/>
      <c r="I20" s="76"/>
      <c r="J20" s="79"/>
      <c r="K20" s="76"/>
      <c r="L20" s="79"/>
      <c r="M20" s="76"/>
      <c r="N20" s="76">
        <f t="shared" si="1"/>
        <v>0</v>
      </c>
      <c r="O20" s="76">
        <f t="shared" si="0"/>
        <v>-27.4</v>
      </c>
      <c r="P20" s="78">
        <f t="shared" si="2"/>
        <v>46258</v>
      </c>
      <c r="Q20" s="80">
        <f t="shared" si="3"/>
        <v>46265</v>
      </c>
      <c r="R20" s="78">
        <f t="shared" si="4"/>
        <v>46279</v>
      </c>
      <c r="S20" s="78"/>
      <c r="T20" s="80"/>
      <c r="U20" s="78"/>
    </row>
    <row r="21" spans="1:21" x14ac:dyDescent="0.25">
      <c r="A21" s="181"/>
      <c r="B21" s="4">
        <v>17</v>
      </c>
      <c r="C21" s="171">
        <v>27.4</v>
      </c>
      <c r="D21" s="172"/>
      <c r="E21" s="78">
        <v>46249</v>
      </c>
      <c r="F21" s="79"/>
      <c r="G21" s="76"/>
      <c r="H21" s="79"/>
      <c r="I21" s="76"/>
      <c r="J21" s="79"/>
      <c r="K21" s="76"/>
      <c r="L21" s="79"/>
      <c r="M21" s="76"/>
      <c r="N21" s="76">
        <f t="shared" si="1"/>
        <v>0</v>
      </c>
      <c r="O21" s="76">
        <f t="shared" si="0"/>
        <v>-27.4</v>
      </c>
      <c r="P21" s="78">
        <f t="shared" si="2"/>
        <v>46256</v>
      </c>
      <c r="Q21" s="80">
        <f t="shared" si="3"/>
        <v>46263</v>
      </c>
      <c r="R21" s="78">
        <f t="shared" si="4"/>
        <v>46277</v>
      </c>
      <c r="S21" s="78"/>
      <c r="T21" s="80"/>
      <c r="U21" s="78"/>
    </row>
    <row r="22" spans="1:21" x14ac:dyDescent="0.25">
      <c r="A22" s="181"/>
      <c r="B22" s="4">
        <v>18</v>
      </c>
      <c r="C22" s="171">
        <v>27.4</v>
      </c>
      <c r="D22" s="172"/>
      <c r="E22" s="78">
        <v>46252</v>
      </c>
      <c r="F22" s="79"/>
      <c r="G22" s="76"/>
      <c r="H22" s="79"/>
      <c r="I22" s="76"/>
      <c r="J22" s="79"/>
      <c r="K22" s="76"/>
      <c r="L22" s="79"/>
      <c r="M22" s="76"/>
      <c r="N22" s="76">
        <f t="shared" si="1"/>
        <v>0</v>
      </c>
      <c r="O22" s="76">
        <f t="shared" si="0"/>
        <v>-27.4</v>
      </c>
      <c r="P22" s="78">
        <f t="shared" si="2"/>
        <v>46259</v>
      </c>
      <c r="Q22" s="80">
        <f t="shared" si="3"/>
        <v>46266</v>
      </c>
      <c r="R22" s="78">
        <f t="shared" si="4"/>
        <v>46280</v>
      </c>
      <c r="S22" s="78"/>
      <c r="T22" s="80"/>
      <c r="U22" s="78"/>
    </row>
    <row r="23" spans="1:21" x14ac:dyDescent="0.25">
      <c r="A23" s="181"/>
      <c r="B23" s="4">
        <v>19</v>
      </c>
      <c r="C23" s="171">
        <v>27.4</v>
      </c>
      <c r="D23" s="172"/>
      <c r="E23" s="78">
        <v>46248</v>
      </c>
      <c r="F23" s="79"/>
      <c r="G23" s="76"/>
      <c r="H23" s="79"/>
      <c r="I23" s="76"/>
      <c r="J23" s="79"/>
      <c r="K23" s="76"/>
      <c r="L23" s="79"/>
      <c r="M23" s="76"/>
      <c r="N23" s="76">
        <f t="shared" si="1"/>
        <v>0</v>
      </c>
      <c r="O23" s="76">
        <f t="shared" si="0"/>
        <v>-27.4</v>
      </c>
      <c r="P23" s="78">
        <f t="shared" si="2"/>
        <v>46255</v>
      </c>
      <c r="Q23" s="80">
        <f t="shared" si="3"/>
        <v>46262</v>
      </c>
      <c r="R23" s="78">
        <f t="shared" si="4"/>
        <v>46276</v>
      </c>
      <c r="S23" s="78"/>
      <c r="T23" s="80"/>
      <c r="U23" s="78"/>
    </row>
    <row r="24" spans="1:21" x14ac:dyDescent="0.25">
      <c r="A24" s="181"/>
      <c r="B24" s="4">
        <v>20</v>
      </c>
      <c r="C24" s="171">
        <v>27.4</v>
      </c>
      <c r="D24" s="172"/>
      <c r="E24" s="78">
        <v>46252</v>
      </c>
      <c r="F24" s="79"/>
      <c r="G24" s="76"/>
      <c r="H24" s="79"/>
      <c r="I24" s="76"/>
      <c r="J24" s="79"/>
      <c r="K24" s="76"/>
      <c r="L24" s="79"/>
      <c r="M24" s="76"/>
      <c r="N24" s="76">
        <f t="shared" si="1"/>
        <v>0</v>
      </c>
      <c r="O24" s="76">
        <f t="shared" si="0"/>
        <v>-27.4</v>
      </c>
      <c r="P24" s="78">
        <f t="shared" si="2"/>
        <v>46259</v>
      </c>
      <c r="Q24" s="80">
        <f t="shared" si="3"/>
        <v>46266</v>
      </c>
      <c r="R24" s="78">
        <f t="shared" si="4"/>
        <v>46280</v>
      </c>
      <c r="S24" s="78"/>
      <c r="T24" s="80"/>
      <c r="U24" s="78"/>
    </row>
    <row r="25" spans="1:21" x14ac:dyDescent="0.25">
      <c r="A25" s="181"/>
      <c r="B25" s="4">
        <v>21</v>
      </c>
      <c r="C25" s="171">
        <v>27.4</v>
      </c>
      <c r="D25" s="172"/>
      <c r="E25" s="78">
        <v>46249</v>
      </c>
      <c r="F25" s="79"/>
      <c r="G25" s="76"/>
      <c r="H25" s="79"/>
      <c r="I25" s="76"/>
      <c r="J25" s="79"/>
      <c r="K25" s="76"/>
      <c r="L25" s="79"/>
      <c r="M25" s="76"/>
      <c r="N25" s="76">
        <f t="shared" si="1"/>
        <v>0</v>
      </c>
      <c r="O25" s="76">
        <f t="shared" si="0"/>
        <v>-27.4</v>
      </c>
      <c r="P25" s="78">
        <f t="shared" si="2"/>
        <v>46256</v>
      </c>
      <c r="Q25" s="80">
        <f t="shared" si="3"/>
        <v>46263</v>
      </c>
      <c r="R25" s="78">
        <f t="shared" si="4"/>
        <v>46277</v>
      </c>
      <c r="S25" s="78"/>
      <c r="T25" s="80"/>
      <c r="U25" s="78"/>
    </row>
    <row r="26" spans="1:21" x14ac:dyDescent="0.25">
      <c r="A26" s="181"/>
      <c r="B26" s="4">
        <v>22</v>
      </c>
      <c r="C26" s="171">
        <v>27.4</v>
      </c>
      <c r="D26" s="172"/>
      <c r="E26" s="78">
        <v>46252</v>
      </c>
      <c r="F26" s="79"/>
      <c r="G26" s="76"/>
      <c r="H26" s="79"/>
      <c r="I26" s="76"/>
      <c r="J26" s="79"/>
      <c r="K26" s="76"/>
      <c r="L26" s="79"/>
      <c r="M26" s="76"/>
      <c r="N26" s="76">
        <f t="shared" si="1"/>
        <v>0</v>
      </c>
      <c r="O26" s="76">
        <f t="shared" si="0"/>
        <v>-27.4</v>
      </c>
      <c r="P26" s="78">
        <f t="shared" si="2"/>
        <v>46259</v>
      </c>
      <c r="Q26" s="80">
        <f t="shared" si="3"/>
        <v>46266</v>
      </c>
      <c r="R26" s="78">
        <f t="shared" si="4"/>
        <v>46280</v>
      </c>
      <c r="S26" s="78"/>
      <c r="T26" s="80"/>
      <c r="U26" s="78"/>
    </row>
    <row r="27" spans="1:21" x14ac:dyDescent="0.25">
      <c r="A27" s="181"/>
      <c r="B27" s="4">
        <v>23</v>
      </c>
      <c r="C27" s="171">
        <v>27.4</v>
      </c>
      <c r="D27" s="172"/>
      <c r="E27" s="78"/>
      <c r="F27" s="79"/>
      <c r="G27" s="76"/>
      <c r="H27" s="79"/>
      <c r="I27" s="76"/>
      <c r="J27" s="79"/>
      <c r="K27" s="76"/>
      <c r="L27" s="79"/>
      <c r="M27" s="76"/>
      <c r="N27" s="76">
        <f t="shared" si="1"/>
        <v>0</v>
      </c>
      <c r="O27" s="76">
        <f t="shared" si="0"/>
        <v>-27.4</v>
      </c>
      <c r="P27" s="78">
        <f t="shared" si="2"/>
        <v>7</v>
      </c>
      <c r="Q27" s="80">
        <f t="shared" si="3"/>
        <v>14</v>
      </c>
      <c r="R27" s="78">
        <f t="shared" si="4"/>
        <v>28</v>
      </c>
      <c r="S27" s="78"/>
      <c r="T27" s="80"/>
      <c r="U27" s="78"/>
    </row>
    <row r="28" spans="1:21" x14ac:dyDescent="0.25">
      <c r="A28" s="182"/>
      <c r="B28" s="4">
        <v>24</v>
      </c>
      <c r="C28" s="171">
        <v>27.4</v>
      </c>
      <c r="D28" s="172"/>
      <c r="E28" s="78">
        <v>46253</v>
      </c>
      <c r="F28" s="79"/>
      <c r="G28" s="76"/>
      <c r="H28" s="79"/>
      <c r="I28" s="76"/>
      <c r="J28" s="79"/>
      <c r="K28" s="76"/>
      <c r="L28" s="79"/>
      <c r="M28" s="76"/>
      <c r="N28" s="76">
        <f t="shared" si="1"/>
        <v>0</v>
      </c>
      <c r="O28" s="76">
        <f t="shared" si="0"/>
        <v>-27.4</v>
      </c>
      <c r="P28" s="78">
        <f t="shared" si="2"/>
        <v>46260</v>
      </c>
      <c r="Q28" s="80">
        <f t="shared" si="3"/>
        <v>46267</v>
      </c>
      <c r="R28" s="78">
        <f t="shared" si="4"/>
        <v>46281</v>
      </c>
      <c r="S28" s="78"/>
      <c r="T28" s="80"/>
      <c r="U28" s="78"/>
    </row>
    <row r="29" spans="1:21" x14ac:dyDescent="0.25">
      <c r="A29" s="74" t="s">
        <v>68</v>
      </c>
      <c r="B29" s="77"/>
      <c r="C29" s="171">
        <f>SUM(C5:D28)</f>
        <v>657.59999999999968</v>
      </c>
      <c r="D29" s="172"/>
      <c r="E29" s="174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</row>
  </sheetData>
  <autoFilter ref="A1:U29" xr:uid="{67735870-E285-47FD-A5D0-F69F6CC87B11}">
    <filterColumn colId="0" showButton="0"/>
    <filterColumn colId="2" showButton="0"/>
  </autoFilter>
  <mergeCells count="46">
    <mergeCell ref="H1:H4"/>
    <mergeCell ref="A1:B3"/>
    <mergeCell ref="C1:D4"/>
    <mergeCell ref="E1:E4"/>
    <mergeCell ref="F1:F4"/>
    <mergeCell ref="G1:G4"/>
    <mergeCell ref="T1:T4"/>
    <mergeCell ref="I1:I4"/>
    <mergeCell ref="J1:J4"/>
    <mergeCell ref="K1:K4"/>
    <mergeCell ref="L1:L4"/>
    <mergeCell ref="M1:M4"/>
    <mergeCell ref="N1:N4"/>
    <mergeCell ref="C18:D18"/>
    <mergeCell ref="U1:U4"/>
    <mergeCell ref="A5:A28"/>
    <mergeCell ref="C5:D5"/>
    <mergeCell ref="C6:D6"/>
    <mergeCell ref="C7:D7"/>
    <mergeCell ref="C8:D8"/>
    <mergeCell ref="C9:D9"/>
    <mergeCell ref="C10:D10"/>
    <mergeCell ref="C11:D11"/>
    <mergeCell ref="C12:D12"/>
    <mergeCell ref="O1:O4"/>
    <mergeCell ref="P1:P4"/>
    <mergeCell ref="Q1:Q4"/>
    <mergeCell ref="R1:R4"/>
    <mergeCell ref="S1:S4"/>
    <mergeCell ref="C13:D13"/>
    <mergeCell ref="C14:D14"/>
    <mergeCell ref="C15:D15"/>
    <mergeCell ref="C16:D16"/>
    <mergeCell ref="C17:D17"/>
    <mergeCell ref="E29:U29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EA02E-AD74-4F51-BA06-2225AD1392BB}">
  <dimension ref="A1:U29"/>
  <sheetViews>
    <sheetView zoomScale="55" zoomScaleNormal="55" workbookViewId="0">
      <selection activeCell="H81" sqref="H81"/>
    </sheetView>
  </sheetViews>
  <sheetFormatPr defaultRowHeight="15" x14ac:dyDescent="0.25"/>
  <cols>
    <col min="2" max="3" width="10.7109375" customWidth="1"/>
    <col min="4" max="4" width="11.28515625" customWidth="1"/>
    <col min="5" max="5" width="16.7109375" customWidth="1"/>
    <col min="6" max="15" width="16.85546875" customWidth="1"/>
    <col min="16" max="17" width="17.140625" customWidth="1"/>
    <col min="18" max="18" width="18.140625" customWidth="1"/>
    <col min="19" max="20" width="17.28515625" customWidth="1"/>
    <col min="21" max="21" width="18.7109375" customWidth="1"/>
  </cols>
  <sheetData>
    <row r="1" spans="1:21" ht="15" customHeight="1" x14ac:dyDescent="0.25">
      <c r="A1" s="128" t="s">
        <v>89</v>
      </c>
      <c r="B1" s="128"/>
      <c r="C1" s="174" t="s">
        <v>69</v>
      </c>
      <c r="D1" s="175"/>
      <c r="E1" s="173" t="s">
        <v>67</v>
      </c>
      <c r="F1" s="183" t="s">
        <v>70</v>
      </c>
      <c r="G1" s="187" t="s">
        <v>71</v>
      </c>
      <c r="H1" s="183" t="s">
        <v>70</v>
      </c>
      <c r="I1" s="187" t="s">
        <v>71</v>
      </c>
      <c r="J1" s="183" t="s">
        <v>70</v>
      </c>
      <c r="K1" s="187" t="s">
        <v>71</v>
      </c>
      <c r="L1" s="183" t="s">
        <v>70</v>
      </c>
      <c r="M1" s="187" t="s">
        <v>71</v>
      </c>
      <c r="N1" s="183" t="s">
        <v>68</v>
      </c>
      <c r="O1" s="183" t="s">
        <v>74</v>
      </c>
      <c r="P1" s="170" t="s">
        <v>72</v>
      </c>
      <c r="Q1" s="170" t="s">
        <v>78</v>
      </c>
      <c r="R1" s="170" t="s">
        <v>73</v>
      </c>
      <c r="S1" s="170" t="s">
        <v>76</v>
      </c>
      <c r="T1" s="170" t="s">
        <v>79</v>
      </c>
      <c r="U1" s="170" t="s">
        <v>77</v>
      </c>
    </row>
    <row r="2" spans="1:21" x14ac:dyDescent="0.25">
      <c r="A2" s="128"/>
      <c r="B2" s="128"/>
      <c r="C2" s="176"/>
      <c r="D2" s="177"/>
      <c r="E2" s="173"/>
      <c r="F2" s="184"/>
      <c r="G2" s="188"/>
      <c r="H2" s="184"/>
      <c r="I2" s="188"/>
      <c r="J2" s="184"/>
      <c r="K2" s="188"/>
      <c r="L2" s="184"/>
      <c r="M2" s="188"/>
      <c r="N2" s="184"/>
      <c r="O2" s="184"/>
      <c r="P2" s="170"/>
      <c r="Q2" s="170"/>
      <c r="R2" s="170"/>
      <c r="S2" s="170"/>
      <c r="T2" s="170"/>
      <c r="U2" s="170"/>
    </row>
    <row r="3" spans="1:21" ht="15" customHeight="1" x14ac:dyDescent="0.25">
      <c r="A3" s="128"/>
      <c r="B3" s="128"/>
      <c r="C3" s="176"/>
      <c r="D3" s="177"/>
      <c r="E3" s="173"/>
      <c r="F3" s="184"/>
      <c r="G3" s="188"/>
      <c r="H3" s="184"/>
      <c r="I3" s="188"/>
      <c r="J3" s="184"/>
      <c r="K3" s="188"/>
      <c r="L3" s="184"/>
      <c r="M3" s="188"/>
      <c r="N3" s="184"/>
      <c r="O3" s="184"/>
      <c r="P3" s="170"/>
      <c r="Q3" s="170"/>
      <c r="R3" s="170"/>
      <c r="S3" s="170"/>
      <c r="T3" s="170"/>
      <c r="U3" s="170"/>
    </row>
    <row r="4" spans="1:21" x14ac:dyDescent="0.25">
      <c r="A4" s="2" t="s">
        <v>0</v>
      </c>
      <c r="B4" s="75" t="s">
        <v>88</v>
      </c>
      <c r="C4" s="178"/>
      <c r="D4" s="179"/>
      <c r="E4" s="173"/>
      <c r="F4" s="185"/>
      <c r="G4" s="189"/>
      <c r="H4" s="185"/>
      <c r="I4" s="189"/>
      <c r="J4" s="185"/>
      <c r="K4" s="189"/>
      <c r="L4" s="185"/>
      <c r="M4" s="189"/>
      <c r="N4" s="185"/>
      <c r="O4" s="185"/>
      <c r="P4" s="170"/>
      <c r="Q4" s="170"/>
      <c r="R4" s="170"/>
      <c r="S4" s="170"/>
      <c r="T4" s="170"/>
      <c r="U4" s="170"/>
    </row>
    <row r="5" spans="1:21" x14ac:dyDescent="0.25">
      <c r="A5" s="180" t="s">
        <v>85</v>
      </c>
      <c r="B5" s="4">
        <v>1</v>
      </c>
      <c r="C5" s="171">
        <v>27.4</v>
      </c>
      <c r="D5" s="172"/>
      <c r="E5" s="78">
        <v>46248</v>
      </c>
      <c r="F5" s="76"/>
      <c r="G5" s="76"/>
      <c r="H5" s="76"/>
      <c r="I5" s="76"/>
      <c r="J5" s="76"/>
      <c r="K5" s="76"/>
      <c r="L5" s="76"/>
      <c r="M5" s="76"/>
      <c r="N5" s="76">
        <f>G5+I5+K5+M5</f>
        <v>0</v>
      </c>
      <c r="O5" s="76">
        <f t="shared" ref="O5:O28" si="0">N5-C5</f>
        <v>-27.4</v>
      </c>
      <c r="P5" s="81">
        <f>E5+7</f>
        <v>46255</v>
      </c>
      <c r="Q5" s="81">
        <f>E5+14</f>
        <v>46262</v>
      </c>
      <c r="R5" s="81">
        <f>E5+28</f>
        <v>46276</v>
      </c>
      <c r="S5" s="81"/>
      <c r="T5" s="81"/>
      <c r="U5" s="78"/>
    </row>
    <row r="6" spans="1:21" x14ac:dyDescent="0.25">
      <c r="A6" s="181"/>
      <c r="B6" s="4">
        <v>2</v>
      </c>
      <c r="C6" s="171">
        <v>27.4</v>
      </c>
      <c r="D6" s="172"/>
      <c r="E6" s="78">
        <v>46250</v>
      </c>
      <c r="F6" s="76"/>
      <c r="G6" s="76"/>
      <c r="H6" s="76"/>
      <c r="I6" s="76"/>
      <c r="J6" s="76"/>
      <c r="K6" s="76"/>
      <c r="L6" s="76"/>
      <c r="M6" s="76"/>
      <c r="N6" s="76">
        <f t="shared" ref="N6:N28" si="1">G6+I6+K6+M6</f>
        <v>0</v>
      </c>
      <c r="O6" s="76">
        <f t="shared" si="0"/>
        <v>-27.4</v>
      </c>
      <c r="P6" s="81">
        <f t="shared" ref="P6:P28" si="2">E6+7</f>
        <v>46257</v>
      </c>
      <c r="Q6" s="81">
        <f t="shared" ref="Q6:Q28" si="3">E6+14</f>
        <v>46264</v>
      </c>
      <c r="R6" s="81">
        <f t="shared" ref="R6:R28" si="4">E6+28</f>
        <v>46278</v>
      </c>
      <c r="S6" s="81"/>
      <c r="T6" s="81"/>
      <c r="U6" s="78"/>
    </row>
    <row r="7" spans="1:21" x14ac:dyDescent="0.25">
      <c r="A7" s="181"/>
      <c r="B7" s="4">
        <v>3</v>
      </c>
      <c r="C7" s="171">
        <v>27.4</v>
      </c>
      <c r="D7" s="172"/>
      <c r="E7" s="78">
        <v>46246</v>
      </c>
      <c r="F7" s="114" t="s">
        <v>781</v>
      </c>
      <c r="G7" s="76">
        <v>9</v>
      </c>
      <c r="H7" s="114" t="s">
        <v>782</v>
      </c>
      <c r="I7" s="76">
        <v>9.5</v>
      </c>
      <c r="J7" s="114" t="s">
        <v>783</v>
      </c>
      <c r="K7" s="76">
        <v>9.5</v>
      </c>
      <c r="L7" s="76"/>
      <c r="M7" s="76"/>
      <c r="N7" s="76">
        <f t="shared" si="1"/>
        <v>28</v>
      </c>
      <c r="O7" s="76">
        <f t="shared" si="0"/>
        <v>0.60000000000000142</v>
      </c>
      <c r="P7" s="81">
        <f t="shared" si="2"/>
        <v>46253</v>
      </c>
      <c r="Q7" s="81">
        <f t="shared" si="3"/>
        <v>46260</v>
      </c>
      <c r="R7" s="81">
        <f t="shared" si="4"/>
        <v>46274</v>
      </c>
      <c r="S7" s="81"/>
      <c r="T7" s="81"/>
      <c r="U7" s="78" t="s">
        <v>75</v>
      </c>
    </row>
    <row r="8" spans="1:21" x14ac:dyDescent="0.25">
      <c r="A8" s="181"/>
      <c r="B8" s="4">
        <v>4</v>
      </c>
      <c r="C8" s="171">
        <v>27.4</v>
      </c>
      <c r="D8" s="172"/>
      <c r="E8" s="78">
        <v>46239</v>
      </c>
      <c r="F8" s="114" t="s">
        <v>491</v>
      </c>
      <c r="G8" s="76">
        <v>9</v>
      </c>
      <c r="H8" s="114" t="s">
        <v>492</v>
      </c>
      <c r="I8" s="76">
        <v>9</v>
      </c>
      <c r="J8" s="114" t="s">
        <v>493</v>
      </c>
      <c r="K8" s="76">
        <v>9</v>
      </c>
      <c r="L8" s="76"/>
      <c r="M8" s="76"/>
      <c r="N8" s="76">
        <f t="shared" si="1"/>
        <v>27</v>
      </c>
      <c r="O8" s="76">
        <f t="shared" si="0"/>
        <v>-0.39999999999999858</v>
      </c>
      <c r="P8" s="82">
        <f t="shared" si="2"/>
        <v>46246</v>
      </c>
      <c r="Q8" s="81">
        <f t="shared" si="3"/>
        <v>46253</v>
      </c>
      <c r="R8" s="81">
        <f t="shared" si="4"/>
        <v>46267</v>
      </c>
      <c r="S8" s="82" t="s">
        <v>91</v>
      </c>
      <c r="T8" s="81"/>
      <c r="U8" s="78"/>
    </row>
    <row r="9" spans="1:21" x14ac:dyDescent="0.25">
      <c r="A9" s="181"/>
      <c r="B9" s="4">
        <v>5</v>
      </c>
      <c r="C9" s="171">
        <v>27.4</v>
      </c>
      <c r="D9" s="172"/>
      <c r="E9" s="78">
        <v>46247</v>
      </c>
      <c r="F9" s="114" t="s">
        <v>800</v>
      </c>
      <c r="G9" s="76">
        <v>9.5</v>
      </c>
      <c r="H9" s="114" t="s">
        <v>801</v>
      </c>
      <c r="I9" s="76">
        <v>9.5</v>
      </c>
      <c r="J9" s="114" t="s">
        <v>802</v>
      </c>
      <c r="K9" s="76">
        <v>9</v>
      </c>
      <c r="L9" s="76"/>
      <c r="M9" s="76"/>
      <c r="N9" s="76">
        <f t="shared" si="1"/>
        <v>28</v>
      </c>
      <c r="O9" s="76">
        <f t="shared" si="0"/>
        <v>0.60000000000000142</v>
      </c>
      <c r="P9" s="81">
        <f t="shared" si="2"/>
        <v>46254</v>
      </c>
      <c r="Q9" s="81">
        <f t="shared" si="3"/>
        <v>46261</v>
      </c>
      <c r="R9" s="81">
        <f t="shared" si="4"/>
        <v>46275</v>
      </c>
      <c r="S9" s="81"/>
      <c r="T9" s="81"/>
      <c r="U9" s="78"/>
    </row>
    <row r="10" spans="1:21" x14ac:dyDescent="0.25">
      <c r="A10" s="181"/>
      <c r="B10" s="4">
        <v>6</v>
      </c>
      <c r="C10" s="171">
        <v>27.4</v>
      </c>
      <c r="D10" s="172"/>
      <c r="E10" s="78">
        <v>46249</v>
      </c>
      <c r="F10" s="76"/>
      <c r="G10" s="76"/>
      <c r="H10" s="76"/>
      <c r="I10" s="76"/>
      <c r="J10" s="76"/>
      <c r="K10" s="76"/>
      <c r="L10" s="76"/>
      <c r="M10" s="76"/>
      <c r="N10" s="76">
        <f t="shared" si="1"/>
        <v>0</v>
      </c>
      <c r="O10" s="76">
        <f t="shared" si="0"/>
        <v>-27.4</v>
      </c>
      <c r="P10" s="81">
        <f t="shared" si="2"/>
        <v>46256</v>
      </c>
      <c r="Q10" s="81">
        <f t="shared" si="3"/>
        <v>46263</v>
      </c>
      <c r="R10" s="81">
        <f t="shared" si="4"/>
        <v>46277</v>
      </c>
      <c r="S10" s="81"/>
      <c r="T10" s="81"/>
      <c r="U10" s="78"/>
    </row>
    <row r="11" spans="1:21" x14ac:dyDescent="0.25">
      <c r="A11" s="181"/>
      <c r="B11" s="4">
        <v>7</v>
      </c>
      <c r="C11" s="171">
        <v>27.4</v>
      </c>
      <c r="D11" s="172"/>
      <c r="E11" s="78">
        <v>46244</v>
      </c>
      <c r="F11" s="115" t="s">
        <v>778</v>
      </c>
      <c r="G11" s="76">
        <v>9.5</v>
      </c>
      <c r="H11" s="115" t="s">
        <v>779</v>
      </c>
      <c r="I11" s="76">
        <v>9.5</v>
      </c>
      <c r="J11" s="115" t="s">
        <v>780</v>
      </c>
      <c r="K11" s="76">
        <v>9</v>
      </c>
      <c r="L11" s="76"/>
      <c r="M11" s="76"/>
      <c r="N11" s="76">
        <f t="shared" si="1"/>
        <v>28</v>
      </c>
      <c r="O11" s="76">
        <f t="shared" si="0"/>
        <v>0.60000000000000142</v>
      </c>
      <c r="P11" s="81">
        <f t="shared" si="2"/>
        <v>46251</v>
      </c>
      <c r="Q11" s="81">
        <f t="shared" si="3"/>
        <v>46258</v>
      </c>
      <c r="R11" s="81">
        <f t="shared" si="4"/>
        <v>46272</v>
      </c>
      <c r="S11" s="81"/>
      <c r="T11" s="81"/>
      <c r="U11" s="78"/>
    </row>
    <row r="12" spans="1:21" x14ac:dyDescent="0.25">
      <c r="A12" s="181"/>
      <c r="B12" s="4">
        <v>8</v>
      </c>
      <c r="C12" s="171">
        <v>27.4</v>
      </c>
      <c r="D12" s="172"/>
      <c r="E12" s="78">
        <v>46248</v>
      </c>
      <c r="F12" s="76"/>
      <c r="G12" s="76"/>
      <c r="H12" s="76"/>
      <c r="I12" s="76"/>
      <c r="J12" s="76"/>
      <c r="K12" s="76"/>
      <c r="L12" s="76"/>
      <c r="M12" s="76"/>
      <c r="N12" s="76">
        <f t="shared" si="1"/>
        <v>0</v>
      </c>
      <c r="O12" s="76">
        <f t="shared" si="0"/>
        <v>-27.4</v>
      </c>
      <c r="P12" s="81">
        <f t="shared" si="2"/>
        <v>46255</v>
      </c>
      <c r="Q12" s="81">
        <f t="shared" si="3"/>
        <v>46262</v>
      </c>
      <c r="R12" s="81">
        <f t="shared" si="4"/>
        <v>46276</v>
      </c>
      <c r="S12" s="81"/>
      <c r="T12" s="81"/>
      <c r="U12" s="78"/>
    </row>
    <row r="13" spans="1:21" x14ac:dyDescent="0.25">
      <c r="A13" s="181"/>
      <c r="B13" s="4">
        <v>9</v>
      </c>
      <c r="C13" s="171">
        <v>27.4</v>
      </c>
      <c r="D13" s="172"/>
      <c r="E13" s="78">
        <v>46241</v>
      </c>
      <c r="F13" s="114" t="s">
        <v>557</v>
      </c>
      <c r="G13" s="76">
        <v>9</v>
      </c>
      <c r="H13" s="114" t="s">
        <v>558</v>
      </c>
      <c r="I13" s="76">
        <v>9</v>
      </c>
      <c r="J13" s="114" t="s">
        <v>559</v>
      </c>
      <c r="K13" s="76">
        <v>9</v>
      </c>
      <c r="L13" s="76"/>
      <c r="M13" s="76"/>
      <c r="N13" s="76">
        <f t="shared" si="1"/>
        <v>27</v>
      </c>
      <c r="O13" s="76">
        <f t="shared" si="0"/>
        <v>-0.39999999999999858</v>
      </c>
      <c r="P13" s="82">
        <f t="shared" si="2"/>
        <v>46248</v>
      </c>
      <c r="Q13" s="81">
        <f t="shared" si="3"/>
        <v>46255</v>
      </c>
      <c r="R13" s="81">
        <f t="shared" si="4"/>
        <v>46269</v>
      </c>
      <c r="S13" s="82" t="s">
        <v>91</v>
      </c>
      <c r="T13" s="81"/>
      <c r="U13" s="78"/>
    </row>
    <row r="14" spans="1:21" x14ac:dyDescent="0.25">
      <c r="A14" s="181"/>
      <c r="B14" s="4">
        <v>10</v>
      </c>
      <c r="C14" s="171">
        <v>27.4</v>
      </c>
      <c r="D14" s="172"/>
      <c r="E14" s="78">
        <v>46237</v>
      </c>
      <c r="F14" s="114" t="s">
        <v>254</v>
      </c>
      <c r="G14" s="76">
        <v>9.5</v>
      </c>
      <c r="H14" s="114" t="s">
        <v>255</v>
      </c>
      <c r="I14" s="76">
        <v>9.5</v>
      </c>
      <c r="J14" s="114" t="s">
        <v>256</v>
      </c>
      <c r="K14" s="76">
        <v>9.5</v>
      </c>
      <c r="L14" s="76"/>
      <c r="M14" s="76"/>
      <c r="N14" s="76">
        <f t="shared" si="1"/>
        <v>28.5</v>
      </c>
      <c r="O14" s="76">
        <f t="shared" si="0"/>
        <v>1.1000000000000014</v>
      </c>
      <c r="P14" s="82">
        <f t="shared" si="2"/>
        <v>46244</v>
      </c>
      <c r="Q14" s="81">
        <f t="shared" si="3"/>
        <v>46251</v>
      </c>
      <c r="R14" s="81">
        <f t="shared" si="4"/>
        <v>46265</v>
      </c>
      <c r="S14" s="82" t="s">
        <v>91</v>
      </c>
      <c r="T14" s="81"/>
      <c r="U14" s="78"/>
    </row>
    <row r="15" spans="1:21" x14ac:dyDescent="0.25">
      <c r="A15" s="181"/>
      <c r="B15" s="4">
        <v>11</v>
      </c>
      <c r="C15" s="171">
        <v>27.4</v>
      </c>
      <c r="D15" s="172"/>
      <c r="E15" s="78">
        <v>46240</v>
      </c>
      <c r="F15" s="115" t="s">
        <v>563</v>
      </c>
      <c r="G15" s="76">
        <v>9</v>
      </c>
      <c r="H15" s="115" t="s">
        <v>564</v>
      </c>
      <c r="I15" s="76">
        <v>9</v>
      </c>
      <c r="J15" s="115" t="s">
        <v>565</v>
      </c>
      <c r="K15" s="76">
        <v>9</v>
      </c>
      <c r="L15" s="76"/>
      <c r="M15" s="76"/>
      <c r="N15" s="76">
        <f t="shared" si="1"/>
        <v>27</v>
      </c>
      <c r="O15" s="76">
        <f t="shared" si="0"/>
        <v>-0.39999999999999858</v>
      </c>
      <c r="P15" s="82">
        <f t="shared" si="2"/>
        <v>46247</v>
      </c>
      <c r="Q15" s="81">
        <f t="shared" si="3"/>
        <v>46254</v>
      </c>
      <c r="R15" s="81">
        <f t="shared" si="4"/>
        <v>46268</v>
      </c>
      <c r="S15" s="82" t="s">
        <v>91</v>
      </c>
      <c r="T15" s="81"/>
      <c r="U15" s="78"/>
    </row>
    <row r="16" spans="1:21" x14ac:dyDescent="0.25">
      <c r="A16" s="181"/>
      <c r="B16" s="4">
        <v>12</v>
      </c>
      <c r="C16" s="171">
        <v>27.4</v>
      </c>
      <c r="D16" s="172"/>
      <c r="E16" s="78">
        <v>46238</v>
      </c>
      <c r="F16" s="115" t="s">
        <v>497</v>
      </c>
      <c r="G16" s="76">
        <v>9</v>
      </c>
      <c r="H16" s="114" t="s">
        <v>498</v>
      </c>
      <c r="I16" s="76">
        <v>9</v>
      </c>
      <c r="J16" s="114" t="s">
        <v>499</v>
      </c>
      <c r="K16" s="76">
        <v>9</v>
      </c>
      <c r="L16" s="76"/>
      <c r="M16" s="76"/>
      <c r="N16" s="76">
        <f t="shared" si="1"/>
        <v>27</v>
      </c>
      <c r="O16" s="76">
        <f t="shared" si="0"/>
        <v>-0.39999999999999858</v>
      </c>
      <c r="P16" s="82">
        <f t="shared" si="2"/>
        <v>46245</v>
      </c>
      <c r="Q16" s="81">
        <f t="shared" si="3"/>
        <v>46252</v>
      </c>
      <c r="R16" s="81">
        <f t="shared" si="4"/>
        <v>46266</v>
      </c>
      <c r="S16" s="82" t="s">
        <v>91</v>
      </c>
      <c r="T16" s="81"/>
      <c r="U16" s="78"/>
    </row>
    <row r="17" spans="1:21" x14ac:dyDescent="0.25">
      <c r="A17" s="181"/>
      <c r="B17" s="4">
        <v>13</v>
      </c>
      <c r="C17" s="171">
        <v>27.4</v>
      </c>
      <c r="D17" s="172"/>
      <c r="E17" s="78">
        <v>46239</v>
      </c>
      <c r="F17" s="114" t="s">
        <v>488</v>
      </c>
      <c r="G17" s="76">
        <v>9</v>
      </c>
      <c r="H17" s="114" t="s">
        <v>489</v>
      </c>
      <c r="I17" s="76">
        <v>9.5</v>
      </c>
      <c r="J17" s="114" t="s">
        <v>490</v>
      </c>
      <c r="K17" s="76">
        <v>9.5</v>
      </c>
      <c r="L17" s="76"/>
      <c r="M17" s="76"/>
      <c r="N17" s="76">
        <f t="shared" si="1"/>
        <v>28</v>
      </c>
      <c r="O17" s="76">
        <f t="shared" si="0"/>
        <v>0.60000000000000142</v>
      </c>
      <c r="P17" s="82">
        <f t="shared" si="2"/>
        <v>46246</v>
      </c>
      <c r="Q17" s="81">
        <f t="shared" si="3"/>
        <v>46253</v>
      </c>
      <c r="R17" s="81">
        <f t="shared" si="4"/>
        <v>46267</v>
      </c>
      <c r="S17" s="82" t="s">
        <v>91</v>
      </c>
      <c r="T17" s="80"/>
      <c r="U17" s="78"/>
    </row>
    <row r="18" spans="1:21" x14ac:dyDescent="0.25">
      <c r="A18" s="181"/>
      <c r="B18" s="4">
        <v>14</v>
      </c>
      <c r="C18" s="171">
        <v>27.4</v>
      </c>
      <c r="D18" s="172"/>
      <c r="E18" s="78">
        <v>46241</v>
      </c>
      <c r="F18" s="115" t="s">
        <v>569</v>
      </c>
      <c r="G18" s="76">
        <v>9.5</v>
      </c>
      <c r="H18" s="115" t="s">
        <v>570</v>
      </c>
      <c r="I18" s="76">
        <v>9.5</v>
      </c>
      <c r="J18" s="115" t="s">
        <v>571</v>
      </c>
      <c r="K18" s="76">
        <v>9</v>
      </c>
      <c r="L18" s="79"/>
      <c r="M18" s="76"/>
      <c r="N18" s="76">
        <f t="shared" si="1"/>
        <v>28</v>
      </c>
      <c r="O18" s="76">
        <f t="shared" si="0"/>
        <v>0.60000000000000142</v>
      </c>
      <c r="P18" s="82">
        <f t="shared" si="2"/>
        <v>46248</v>
      </c>
      <c r="Q18" s="81">
        <f t="shared" si="3"/>
        <v>46255</v>
      </c>
      <c r="R18" s="81">
        <f t="shared" si="4"/>
        <v>46269</v>
      </c>
      <c r="S18" s="82" t="s">
        <v>91</v>
      </c>
      <c r="T18" s="80"/>
      <c r="U18" s="78"/>
    </row>
    <row r="19" spans="1:21" x14ac:dyDescent="0.25">
      <c r="A19" s="181"/>
      <c r="B19" s="4">
        <v>15</v>
      </c>
      <c r="C19" s="171">
        <v>27.4</v>
      </c>
      <c r="D19" s="172"/>
      <c r="E19" s="78">
        <v>46240</v>
      </c>
      <c r="F19" s="115" t="s">
        <v>566</v>
      </c>
      <c r="G19" s="76">
        <v>9</v>
      </c>
      <c r="H19" s="115" t="s">
        <v>567</v>
      </c>
      <c r="I19" s="76">
        <v>9.5</v>
      </c>
      <c r="J19" s="115" t="s">
        <v>568</v>
      </c>
      <c r="K19" s="76">
        <v>9.5</v>
      </c>
      <c r="L19" s="79"/>
      <c r="M19" s="76"/>
      <c r="N19" s="76">
        <f t="shared" si="1"/>
        <v>28</v>
      </c>
      <c r="O19" s="76">
        <f t="shared" si="0"/>
        <v>0.60000000000000142</v>
      </c>
      <c r="P19" s="82">
        <f t="shared" si="2"/>
        <v>46247</v>
      </c>
      <c r="Q19" s="80">
        <f t="shared" si="3"/>
        <v>46254</v>
      </c>
      <c r="R19" s="78">
        <f t="shared" si="4"/>
        <v>46268</v>
      </c>
      <c r="S19" s="82" t="s">
        <v>91</v>
      </c>
      <c r="T19" s="80"/>
      <c r="U19" s="78"/>
    </row>
    <row r="20" spans="1:21" x14ac:dyDescent="0.25">
      <c r="A20" s="181"/>
      <c r="B20" s="4">
        <v>16</v>
      </c>
      <c r="C20" s="171">
        <v>27.4</v>
      </c>
      <c r="D20" s="172"/>
      <c r="E20" s="78">
        <v>46238</v>
      </c>
      <c r="F20" s="115" t="s">
        <v>494</v>
      </c>
      <c r="G20" s="76">
        <v>9</v>
      </c>
      <c r="H20" s="115" t="s">
        <v>495</v>
      </c>
      <c r="I20" s="76">
        <v>9</v>
      </c>
      <c r="J20" s="115" t="s">
        <v>496</v>
      </c>
      <c r="K20" s="76">
        <v>9</v>
      </c>
      <c r="L20" s="79"/>
      <c r="M20" s="76"/>
      <c r="N20" s="76">
        <f t="shared" si="1"/>
        <v>27</v>
      </c>
      <c r="O20" s="76">
        <f t="shared" si="0"/>
        <v>-0.39999999999999858</v>
      </c>
      <c r="P20" s="82">
        <f t="shared" si="2"/>
        <v>46245</v>
      </c>
      <c r="Q20" s="80">
        <f t="shared" si="3"/>
        <v>46252</v>
      </c>
      <c r="R20" s="78">
        <f t="shared" si="4"/>
        <v>46266</v>
      </c>
      <c r="S20" s="82" t="s">
        <v>91</v>
      </c>
      <c r="T20" s="80"/>
      <c r="U20" s="78"/>
    </row>
    <row r="21" spans="1:21" x14ac:dyDescent="0.25">
      <c r="A21" s="181"/>
      <c r="B21" s="4">
        <v>17</v>
      </c>
      <c r="C21" s="171">
        <v>27.4</v>
      </c>
      <c r="D21" s="172"/>
      <c r="E21" s="78">
        <v>46244</v>
      </c>
      <c r="F21" s="115" t="s">
        <v>775</v>
      </c>
      <c r="G21" s="76">
        <v>9.5</v>
      </c>
      <c r="H21" s="115" t="s">
        <v>776</v>
      </c>
      <c r="I21" s="76">
        <v>9.5</v>
      </c>
      <c r="J21" s="115" t="s">
        <v>777</v>
      </c>
      <c r="K21" s="76">
        <v>9</v>
      </c>
      <c r="L21" s="79"/>
      <c r="M21" s="76"/>
      <c r="N21" s="76">
        <f t="shared" si="1"/>
        <v>28</v>
      </c>
      <c r="O21" s="76">
        <f t="shared" si="0"/>
        <v>0.60000000000000142</v>
      </c>
      <c r="P21" s="78">
        <f t="shared" si="2"/>
        <v>46251</v>
      </c>
      <c r="Q21" s="80">
        <f t="shared" si="3"/>
        <v>46258</v>
      </c>
      <c r="R21" s="78">
        <f t="shared" si="4"/>
        <v>46272</v>
      </c>
      <c r="S21" s="78"/>
      <c r="T21" s="80"/>
      <c r="U21" s="78"/>
    </row>
    <row r="22" spans="1:21" x14ac:dyDescent="0.25">
      <c r="A22" s="181"/>
      <c r="B22" s="4">
        <v>18</v>
      </c>
      <c r="C22" s="171">
        <v>27.4</v>
      </c>
      <c r="D22" s="172"/>
      <c r="E22" s="78">
        <v>46246</v>
      </c>
      <c r="F22" s="115" t="s">
        <v>772</v>
      </c>
      <c r="G22" s="76">
        <v>9</v>
      </c>
      <c r="H22" s="115" t="s">
        <v>773</v>
      </c>
      <c r="I22" s="76">
        <v>9.5</v>
      </c>
      <c r="J22" s="115" t="s">
        <v>774</v>
      </c>
      <c r="K22" s="76">
        <v>9.5</v>
      </c>
      <c r="L22" s="79"/>
      <c r="M22" s="76"/>
      <c r="N22" s="76">
        <f t="shared" si="1"/>
        <v>28</v>
      </c>
      <c r="O22" s="76">
        <f t="shared" si="0"/>
        <v>0.60000000000000142</v>
      </c>
      <c r="P22" s="78">
        <f t="shared" si="2"/>
        <v>46253</v>
      </c>
      <c r="Q22" s="80">
        <f t="shared" si="3"/>
        <v>46260</v>
      </c>
      <c r="R22" s="78">
        <f t="shared" si="4"/>
        <v>46274</v>
      </c>
      <c r="S22" s="78"/>
      <c r="T22" s="80"/>
      <c r="U22" s="78"/>
    </row>
    <row r="23" spans="1:21" x14ac:dyDescent="0.25">
      <c r="A23" s="181"/>
      <c r="B23" s="4">
        <v>19</v>
      </c>
      <c r="C23" s="171">
        <v>27.4</v>
      </c>
      <c r="D23" s="172"/>
      <c r="E23" s="78">
        <v>46243</v>
      </c>
      <c r="F23" s="115" t="s">
        <v>554</v>
      </c>
      <c r="G23" s="118">
        <v>10</v>
      </c>
      <c r="H23" s="117"/>
      <c r="I23" s="118"/>
      <c r="J23" s="117"/>
      <c r="K23" s="76"/>
      <c r="L23" s="79"/>
      <c r="M23" s="76"/>
      <c r="N23" s="76">
        <f t="shared" si="1"/>
        <v>10</v>
      </c>
      <c r="O23" s="76">
        <f t="shared" si="0"/>
        <v>-17.399999999999999</v>
      </c>
      <c r="P23" s="78">
        <f t="shared" si="2"/>
        <v>46250</v>
      </c>
      <c r="Q23" s="80">
        <f t="shared" si="3"/>
        <v>46257</v>
      </c>
      <c r="R23" s="78">
        <f t="shared" si="4"/>
        <v>46271</v>
      </c>
      <c r="S23" s="78"/>
      <c r="T23" s="80"/>
      <c r="U23" s="78"/>
    </row>
    <row r="24" spans="1:21" x14ac:dyDescent="0.25">
      <c r="A24" s="181"/>
      <c r="B24" s="4">
        <v>20</v>
      </c>
      <c r="C24" s="171">
        <v>27.4</v>
      </c>
      <c r="D24" s="172"/>
      <c r="E24" s="78">
        <v>46247</v>
      </c>
      <c r="F24" s="115" t="s">
        <v>797</v>
      </c>
      <c r="G24" s="76">
        <v>9</v>
      </c>
      <c r="H24" s="115" t="s">
        <v>798</v>
      </c>
      <c r="I24" s="76">
        <v>9</v>
      </c>
      <c r="J24" s="115" t="s">
        <v>799</v>
      </c>
      <c r="K24" s="76">
        <v>9</v>
      </c>
      <c r="L24" s="79"/>
      <c r="M24" s="76"/>
      <c r="N24" s="76">
        <f t="shared" si="1"/>
        <v>27</v>
      </c>
      <c r="O24" s="76">
        <f t="shared" si="0"/>
        <v>-0.39999999999999858</v>
      </c>
      <c r="P24" s="78">
        <f t="shared" si="2"/>
        <v>46254</v>
      </c>
      <c r="Q24" s="80">
        <f t="shared" si="3"/>
        <v>46261</v>
      </c>
      <c r="R24" s="78">
        <f t="shared" si="4"/>
        <v>46275</v>
      </c>
      <c r="S24" s="78"/>
      <c r="T24" s="80"/>
      <c r="U24" s="78"/>
    </row>
    <row r="25" spans="1:21" x14ac:dyDescent="0.25">
      <c r="A25" s="181"/>
      <c r="B25" s="4">
        <v>21</v>
      </c>
      <c r="C25" s="171">
        <v>27.4</v>
      </c>
      <c r="D25" s="172"/>
      <c r="E25" s="78">
        <v>46242</v>
      </c>
      <c r="F25" s="115" t="s">
        <v>556</v>
      </c>
      <c r="G25" s="76">
        <v>9</v>
      </c>
      <c r="H25" s="115" t="s">
        <v>555</v>
      </c>
      <c r="I25" s="76">
        <v>9.5</v>
      </c>
      <c r="J25" s="115" t="s">
        <v>771</v>
      </c>
      <c r="K25" s="76">
        <v>9.5</v>
      </c>
      <c r="L25" s="79"/>
      <c r="M25" s="76"/>
      <c r="N25" s="76">
        <f t="shared" si="1"/>
        <v>28</v>
      </c>
      <c r="O25" s="76">
        <f t="shared" si="0"/>
        <v>0.60000000000000142</v>
      </c>
      <c r="P25" s="78">
        <f t="shared" si="2"/>
        <v>46249</v>
      </c>
      <c r="Q25" s="80">
        <f t="shared" si="3"/>
        <v>46256</v>
      </c>
      <c r="R25" s="78">
        <f t="shared" si="4"/>
        <v>46270</v>
      </c>
      <c r="S25" s="78"/>
      <c r="T25" s="80"/>
      <c r="U25" s="78"/>
    </row>
    <row r="26" spans="1:21" x14ac:dyDescent="0.25">
      <c r="A26" s="181"/>
      <c r="B26" s="4">
        <v>22</v>
      </c>
      <c r="C26" s="171">
        <v>27.4</v>
      </c>
      <c r="D26" s="172"/>
      <c r="E26" s="78">
        <v>46241</v>
      </c>
      <c r="F26" s="115" t="s">
        <v>560</v>
      </c>
      <c r="G26" s="76">
        <v>9</v>
      </c>
      <c r="H26" s="115" t="s">
        <v>561</v>
      </c>
      <c r="I26" s="76">
        <v>9.5</v>
      </c>
      <c r="J26" s="115" t="s">
        <v>562</v>
      </c>
      <c r="K26" s="76">
        <v>9.5</v>
      </c>
      <c r="L26" s="79"/>
      <c r="M26" s="76"/>
      <c r="N26" s="76">
        <f t="shared" si="1"/>
        <v>28</v>
      </c>
      <c r="O26" s="76">
        <f t="shared" si="0"/>
        <v>0.60000000000000142</v>
      </c>
      <c r="P26" s="82">
        <f t="shared" si="2"/>
        <v>46248</v>
      </c>
      <c r="Q26" s="80">
        <f t="shared" si="3"/>
        <v>46255</v>
      </c>
      <c r="R26" s="78">
        <f t="shared" si="4"/>
        <v>46269</v>
      </c>
      <c r="S26" s="82" t="s">
        <v>91</v>
      </c>
      <c r="T26" s="80"/>
      <c r="U26" s="78"/>
    </row>
    <row r="27" spans="1:21" x14ac:dyDescent="0.25">
      <c r="A27" s="181"/>
      <c r="B27" s="4">
        <v>23</v>
      </c>
      <c r="C27" s="171">
        <v>27.4</v>
      </c>
      <c r="D27" s="172"/>
      <c r="E27" s="78">
        <v>46245</v>
      </c>
      <c r="F27" s="115" t="s">
        <v>768</v>
      </c>
      <c r="G27" s="76">
        <v>9.5</v>
      </c>
      <c r="H27" s="115" t="s">
        <v>769</v>
      </c>
      <c r="I27" s="76">
        <v>9</v>
      </c>
      <c r="J27" s="115" t="s">
        <v>770</v>
      </c>
      <c r="K27" s="76">
        <v>9.5</v>
      </c>
      <c r="L27" s="79"/>
      <c r="M27" s="76"/>
      <c r="N27" s="76">
        <f t="shared" si="1"/>
        <v>28</v>
      </c>
      <c r="O27" s="76">
        <f t="shared" si="0"/>
        <v>0.60000000000000142</v>
      </c>
      <c r="P27" s="78">
        <f t="shared" si="2"/>
        <v>46252</v>
      </c>
      <c r="Q27" s="80">
        <f t="shared" si="3"/>
        <v>46259</v>
      </c>
      <c r="R27" s="78">
        <f t="shared" si="4"/>
        <v>46273</v>
      </c>
      <c r="S27" s="78"/>
      <c r="T27" s="80"/>
      <c r="U27" s="78"/>
    </row>
    <row r="28" spans="1:21" x14ac:dyDescent="0.25">
      <c r="A28" s="182"/>
      <c r="B28" s="4">
        <v>24</v>
      </c>
      <c r="C28" s="171">
        <v>27.4</v>
      </c>
      <c r="D28" s="172"/>
      <c r="E28" s="78">
        <v>46250</v>
      </c>
      <c r="F28" s="79"/>
      <c r="G28" s="76"/>
      <c r="H28" s="79"/>
      <c r="I28" s="76"/>
      <c r="J28" s="79"/>
      <c r="K28" s="76"/>
      <c r="L28" s="79"/>
      <c r="M28" s="76"/>
      <c r="N28" s="76">
        <f t="shared" si="1"/>
        <v>0</v>
      </c>
      <c r="O28" s="76">
        <f t="shared" si="0"/>
        <v>-27.4</v>
      </c>
      <c r="P28" s="78">
        <f t="shared" si="2"/>
        <v>46257</v>
      </c>
      <c r="Q28" s="80">
        <f t="shared" si="3"/>
        <v>46264</v>
      </c>
      <c r="R28" s="78">
        <f t="shared" si="4"/>
        <v>46278</v>
      </c>
      <c r="S28" s="78"/>
      <c r="T28" s="80"/>
      <c r="U28" s="78"/>
    </row>
    <row r="29" spans="1:21" x14ac:dyDescent="0.25">
      <c r="A29" s="74" t="s">
        <v>68</v>
      </c>
      <c r="B29" s="77"/>
      <c r="C29" s="171">
        <f>SUM(C5:D28)</f>
        <v>657.59999999999968</v>
      </c>
      <c r="D29" s="172"/>
      <c r="E29" s="174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</row>
  </sheetData>
  <autoFilter ref="C1:P29" xr:uid="{FC8EA02E-AD74-4F51-BA06-2225AD1392BB}">
    <filterColumn colId="0" showButton="0"/>
  </autoFilter>
  <mergeCells count="46">
    <mergeCell ref="H1:H4"/>
    <mergeCell ref="A1:B3"/>
    <mergeCell ref="C1:D4"/>
    <mergeCell ref="E1:E4"/>
    <mergeCell ref="F1:F4"/>
    <mergeCell ref="G1:G4"/>
    <mergeCell ref="T1:T4"/>
    <mergeCell ref="I1:I4"/>
    <mergeCell ref="J1:J4"/>
    <mergeCell ref="K1:K4"/>
    <mergeCell ref="L1:L4"/>
    <mergeCell ref="M1:M4"/>
    <mergeCell ref="N1:N4"/>
    <mergeCell ref="C18:D18"/>
    <mergeCell ref="U1:U4"/>
    <mergeCell ref="A5:A28"/>
    <mergeCell ref="C5:D5"/>
    <mergeCell ref="C6:D6"/>
    <mergeCell ref="C7:D7"/>
    <mergeCell ref="C8:D8"/>
    <mergeCell ref="C9:D9"/>
    <mergeCell ref="C10:D10"/>
    <mergeCell ref="C11:D11"/>
    <mergeCell ref="C12:D12"/>
    <mergeCell ref="O1:O4"/>
    <mergeCell ref="P1:P4"/>
    <mergeCell ref="Q1:Q4"/>
    <mergeCell ref="R1:R4"/>
    <mergeCell ref="S1:S4"/>
    <mergeCell ref="C13:D13"/>
    <mergeCell ref="C14:D14"/>
    <mergeCell ref="C15:D15"/>
    <mergeCell ref="C16:D16"/>
    <mergeCell ref="C17:D17"/>
    <mergeCell ref="E29:U29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CA41-361F-4150-88E3-D7A31C094DED}">
  <dimension ref="A1:U29"/>
  <sheetViews>
    <sheetView zoomScale="55" zoomScaleNormal="55" workbookViewId="0">
      <selection activeCell="F21" sqref="F21"/>
    </sheetView>
  </sheetViews>
  <sheetFormatPr defaultRowHeight="15" x14ac:dyDescent="0.25"/>
  <cols>
    <col min="2" max="3" width="10.7109375" customWidth="1"/>
    <col min="4" max="4" width="11.28515625" customWidth="1"/>
    <col min="5" max="5" width="16.7109375" customWidth="1"/>
    <col min="6" max="15" width="16.85546875" customWidth="1"/>
    <col min="16" max="17" width="17.140625" customWidth="1"/>
    <col min="18" max="18" width="18.140625" customWidth="1"/>
    <col min="19" max="20" width="17.28515625" customWidth="1"/>
    <col min="21" max="21" width="18.7109375" customWidth="1"/>
  </cols>
  <sheetData>
    <row r="1" spans="1:21" ht="15" customHeight="1" x14ac:dyDescent="0.25">
      <c r="A1" s="128" t="s">
        <v>89</v>
      </c>
      <c r="B1" s="128"/>
      <c r="C1" s="174" t="s">
        <v>69</v>
      </c>
      <c r="D1" s="175"/>
      <c r="E1" s="173" t="s">
        <v>67</v>
      </c>
      <c r="F1" s="183" t="s">
        <v>70</v>
      </c>
      <c r="G1" s="187" t="s">
        <v>71</v>
      </c>
      <c r="H1" s="183" t="s">
        <v>70</v>
      </c>
      <c r="I1" s="187" t="s">
        <v>71</v>
      </c>
      <c r="J1" s="183" t="s">
        <v>70</v>
      </c>
      <c r="K1" s="187" t="s">
        <v>71</v>
      </c>
      <c r="L1" s="183" t="s">
        <v>70</v>
      </c>
      <c r="M1" s="187" t="s">
        <v>71</v>
      </c>
      <c r="N1" s="183" t="s">
        <v>68</v>
      </c>
      <c r="O1" s="183" t="s">
        <v>74</v>
      </c>
      <c r="P1" s="170" t="s">
        <v>72</v>
      </c>
      <c r="Q1" s="170" t="s">
        <v>78</v>
      </c>
      <c r="R1" s="170" t="s">
        <v>73</v>
      </c>
      <c r="S1" s="170" t="s">
        <v>76</v>
      </c>
      <c r="T1" s="170" t="s">
        <v>79</v>
      </c>
      <c r="U1" s="170" t="s">
        <v>77</v>
      </c>
    </row>
    <row r="2" spans="1:21" x14ac:dyDescent="0.25">
      <c r="A2" s="128"/>
      <c r="B2" s="128"/>
      <c r="C2" s="176"/>
      <c r="D2" s="177"/>
      <c r="E2" s="173"/>
      <c r="F2" s="184"/>
      <c r="G2" s="188"/>
      <c r="H2" s="184"/>
      <c r="I2" s="188"/>
      <c r="J2" s="184"/>
      <c r="K2" s="188"/>
      <c r="L2" s="184"/>
      <c r="M2" s="188"/>
      <c r="N2" s="184"/>
      <c r="O2" s="184"/>
      <c r="P2" s="170"/>
      <c r="Q2" s="170"/>
      <c r="R2" s="170"/>
      <c r="S2" s="170"/>
      <c r="T2" s="170"/>
      <c r="U2" s="170"/>
    </row>
    <row r="3" spans="1:21" ht="15" customHeight="1" x14ac:dyDescent="0.25">
      <c r="A3" s="128"/>
      <c r="B3" s="128"/>
      <c r="C3" s="176"/>
      <c r="D3" s="177"/>
      <c r="E3" s="173"/>
      <c r="F3" s="184"/>
      <c r="G3" s="188"/>
      <c r="H3" s="184"/>
      <c r="I3" s="188"/>
      <c r="J3" s="184"/>
      <c r="K3" s="188"/>
      <c r="L3" s="184"/>
      <c r="M3" s="188"/>
      <c r="N3" s="184"/>
      <c r="O3" s="184"/>
      <c r="P3" s="170"/>
      <c r="Q3" s="170"/>
      <c r="R3" s="170"/>
      <c r="S3" s="170"/>
      <c r="T3" s="170"/>
      <c r="U3" s="170"/>
    </row>
    <row r="4" spans="1:21" x14ac:dyDescent="0.25">
      <c r="A4" s="2" t="s">
        <v>0</v>
      </c>
      <c r="B4" s="75" t="s">
        <v>88</v>
      </c>
      <c r="C4" s="178"/>
      <c r="D4" s="179"/>
      <c r="E4" s="173"/>
      <c r="F4" s="185"/>
      <c r="G4" s="189"/>
      <c r="H4" s="185"/>
      <c r="I4" s="189"/>
      <c r="J4" s="185"/>
      <c r="K4" s="189"/>
      <c r="L4" s="185"/>
      <c r="M4" s="189"/>
      <c r="N4" s="185"/>
      <c r="O4" s="185"/>
      <c r="P4" s="170"/>
      <c r="Q4" s="170"/>
      <c r="R4" s="170"/>
      <c r="S4" s="170"/>
      <c r="T4" s="170"/>
      <c r="U4" s="170"/>
    </row>
    <row r="5" spans="1:21" x14ac:dyDescent="0.25">
      <c r="A5" s="180" t="s">
        <v>22</v>
      </c>
      <c r="B5" s="4">
        <v>1</v>
      </c>
      <c r="C5" s="171">
        <v>27.4</v>
      </c>
      <c r="D5" s="172"/>
      <c r="E5" s="78"/>
      <c r="F5" s="76"/>
      <c r="G5" s="76"/>
      <c r="H5" s="76"/>
      <c r="I5" s="76"/>
      <c r="J5" s="76"/>
      <c r="K5" s="76"/>
      <c r="L5" s="76"/>
      <c r="M5" s="76"/>
      <c r="N5" s="76">
        <f>G5+I5+K5+M5</f>
        <v>0</v>
      </c>
      <c r="O5" s="76">
        <f t="shared" ref="O5:O28" si="0">N5-C5</f>
        <v>-27.4</v>
      </c>
      <c r="P5" s="81">
        <f>E5+7</f>
        <v>7</v>
      </c>
      <c r="Q5" s="81">
        <f>E5+14</f>
        <v>14</v>
      </c>
      <c r="R5" s="81">
        <f>E5+28</f>
        <v>28</v>
      </c>
      <c r="S5" s="81"/>
      <c r="T5" s="81"/>
      <c r="U5" s="78"/>
    </row>
    <row r="6" spans="1:21" x14ac:dyDescent="0.25">
      <c r="A6" s="181"/>
      <c r="B6" s="4">
        <v>2</v>
      </c>
      <c r="C6" s="171">
        <v>27.4</v>
      </c>
      <c r="D6" s="172"/>
      <c r="E6" s="78"/>
      <c r="F6" s="76"/>
      <c r="G6" s="76"/>
      <c r="H6" s="76"/>
      <c r="I6" s="76"/>
      <c r="J6" s="76"/>
      <c r="K6" s="76"/>
      <c r="L6" s="76"/>
      <c r="M6" s="76"/>
      <c r="N6" s="76">
        <f t="shared" ref="N6:N28" si="1">G6+I6+K6+M6</f>
        <v>0</v>
      </c>
      <c r="O6" s="76">
        <f t="shared" si="0"/>
        <v>-27.4</v>
      </c>
      <c r="P6" s="81">
        <f t="shared" ref="P6:P28" si="2">E6+7</f>
        <v>7</v>
      </c>
      <c r="Q6" s="81">
        <f t="shared" ref="Q6:Q28" si="3">E6+14</f>
        <v>14</v>
      </c>
      <c r="R6" s="81">
        <f t="shared" ref="R6:R28" si="4">E6+28</f>
        <v>28</v>
      </c>
      <c r="S6" s="81"/>
      <c r="T6" s="81"/>
      <c r="U6" s="78"/>
    </row>
    <row r="7" spans="1:21" x14ac:dyDescent="0.25">
      <c r="A7" s="181"/>
      <c r="B7" s="4">
        <v>3</v>
      </c>
      <c r="C7" s="171">
        <v>27.4</v>
      </c>
      <c r="D7" s="172"/>
      <c r="E7" s="78"/>
      <c r="F7" s="76"/>
      <c r="G7" s="76"/>
      <c r="H7" s="76"/>
      <c r="I7" s="76"/>
      <c r="J7" s="76"/>
      <c r="K7" s="76"/>
      <c r="L7" s="76"/>
      <c r="M7" s="76"/>
      <c r="N7" s="76">
        <f t="shared" si="1"/>
        <v>0</v>
      </c>
      <c r="O7" s="76">
        <f t="shared" si="0"/>
        <v>-27.4</v>
      </c>
      <c r="P7" s="81">
        <f t="shared" si="2"/>
        <v>7</v>
      </c>
      <c r="Q7" s="81">
        <f t="shared" si="3"/>
        <v>14</v>
      </c>
      <c r="R7" s="81">
        <f t="shared" si="4"/>
        <v>28</v>
      </c>
      <c r="S7" s="81"/>
      <c r="T7" s="81"/>
      <c r="U7" s="78" t="s">
        <v>75</v>
      </c>
    </row>
    <row r="8" spans="1:21" x14ac:dyDescent="0.25">
      <c r="A8" s="181"/>
      <c r="B8" s="4">
        <v>4</v>
      </c>
      <c r="C8" s="171">
        <v>27.4</v>
      </c>
      <c r="D8" s="172"/>
      <c r="E8" s="78"/>
      <c r="F8" s="76"/>
      <c r="G8" s="76"/>
      <c r="H8" s="76"/>
      <c r="I8" s="76"/>
      <c r="J8" s="76"/>
      <c r="K8" s="76"/>
      <c r="L8" s="76"/>
      <c r="M8" s="76"/>
      <c r="N8" s="76">
        <f t="shared" si="1"/>
        <v>0</v>
      </c>
      <c r="O8" s="76">
        <f t="shared" si="0"/>
        <v>-27.4</v>
      </c>
      <c r="P8" s="81">
        <f t="shared" si="2"/>
        <v>7</v>
      </c>
      <c r="Q8" s="81">
        <f t="shared" si="3"/>
        <v>14</v>
      </c>
      <c r="R8" s="81">
        <f t="shared" si="4"/>
        <v>28</v>
      </c>
      <c r="S8" s="81"/>
      <c r="T8" s="81"/>
      <c r="U8" s="78"/>
    </row>
    <row r="9" spans="1:21" x14ac:dyDescent="0.25">
      <c r="A9" s="181"/>
      <c r="B9" s="4">
        <v>5</v>
      </c>
      <c r="C9" s="171">
        <v>27.4</v>
      </c>
      <c r="D9" s="172"/>
      <c r="E9" s="78"/>
      <c r="F9" s="76"/>
      <c r="G9" s="76"/>
      <c r="H9" s="76"/>
      <c r="I9" s="76"/>
      <c r="J9" s="76"/>
      <c r="K9" s="76"/>
      <c r="L9" s="76"/>
      <c r="M9" s="76"/>
      <c r="N9" s="76">
        <f t="shared" si="1"/>
        <v>0</v>
      </c>
      <c r="O9" s="76">
        <f t="shared" si="0"/>
        <v>-27.4</v>
      </c>
      <c r="P9" s="81">
        <f t="shared" si="2"/>
        <v>7</v>
      </c>
      <c r="Q9" s="81">
        <f t="shared" si="3"/>
        <v>14</v>
      </c>
      <c r="R9" s="81">
        <f t="shared" si="4"/>
        <v>28</v>
      </c>
      <c r="S9" s="81"/>
      <c r="T9" s="81"/>
      <c r="U9" s="78"/>
    </row>
    <row r="10" spans="1:21" x14ac:dyDescent="0.25">
      <c r="A10" s="181"/>
      <c r="B10" s="4">
        <v>6</v>
      </c>
      <c r="C10" s="171">
        <v>27.4</v>
      </c>
      <c r="D10" s="172"/>
      <c r="E10" s="78"/>
      <c r="F10" s="76"/>
      <c r="G10" s="76"/>
      <c r="H10" s="76"/>
      <c r="I10" s="76"/>
      <c r="J10" s="76"/>
      <c r="K10" s="76"/>
      <c r="L10" s="76"/>
      <c r="M10" s="76"/>
      <c r="N10" s="76">
        <f t="shared" si="1"/>
        <v>0</v>
      </c>
      <c r="O10" s="76">
        <f t="shared" si="0"/>
        <v>-27.4</v>
      </c>
      <c r="P10" s="81">
        <f t="shared" si="2"/>
        <v>7</v>
      </c>
      <c r="Q10" s="81">
        <f t="shared" si="3"/>
        <v>14</v>
      </c>
      <c r="R10" s="81">
        <f t="shared" si="4"/>
        <v>28</v>
      </c>
      <c r="S10" s="81"/>
      <c r="T10" s="81"/>
      <c r="U10" s="78"/>
    </row>
    <row r="11" spans="1:21" x14ac:dyDescent="0.25">
      <c r="A11" s="181"/>
      <c r="B11" s="4">
        <v>7</v>
      </c>
      <c r="C11" s="171">
        <v>27.4</v>
      </c>
      <c r="D11" s="172"/>
      <c r="E11" s="78"/>
      <c r="F11" s="79"/>
      <c r="G11" s="76"/>
      <c r="H11" s="79"/>
      <c r="I11" s="76"/>
      <c r="J11" s="79"/>
      <c r="K11" s="76"/>
      <c r="L11" s="76"/>
      <c r="M11" s="76"/>
      <c r="N11" s="76">
        <f t="shared" si="1"/>
        <v>0</v>
      </c>
      <c r="O11" s="76">
        <f t="shared" si="0"/>
        <v>-27.4</v>
      </c>
      <c r="P11" s="81">
        <f t="shared" si="2"/>
        <v>7</v>
      </c>
      <c r="Q11" s="81">
        <f t="shared" si="3"/>
        <v>14</v>
      </c>
      <c r="R11" s="81">
        <f t="shared" si="4"/>
        <v>28</v>
      </c>
      <c r="S11" s="81"/>
      <c r="T11" s="81"/>
      <c r="U11" s="78"/>
    </row>
    <row r="12" spans="1:21" x14ac:dyDescent="0.25">
      <c r="A12" s="181"/>
      <c r="B12" s="4">
        <v>8</v>
      </c>
      <c r="C12" s="171">
        <v>27.4</v>
      </c>
      <c r="D12" s="172"/>
      <c r="E12" s="76"/>
      <c r="F12" s="76"/>
      <c r="G12" s="76"/>
      <c r="H12" s="76"/>
      <c r="I12" s="76"/>
      <c r="J12" s="76"/>
      <c r="K12" s="76"/>
      <c r="L12" s="76"/>
      <c r="M12" s="76"/>
      <c r="N12" s="76">
        <f t="shared" si="1"/>
        <v>0</v>
      </c>
      <c r="O12" s="76">
        <f t="shared" si="0"/>
        <v>-27.4</v>
      </c>
      <c r="P12" s="81">
        <f t="shared" si="2"/>
        <v>7</v>
      </c>
      <c r="Q12" s="81">
        <f t="shared" si="3"/>
        <v>14</v>
      </c>
      <c r="R12" s="81">
        <f t="shared" si="4"/>
        <v>28</v>
      </c>
      <c r="S12" s="81"/>
      <c r="T12" s="81"/>
      <c r="U12" s="78"/>
    </row>
    <row r="13" spans="1:21" x14ac:dyDescent="0.25">
      <c r="A13" s="181"/>
      <c r="B13" s="4">
        <v>9</v>
      </c>
      <c r="C13" s="171">
        <v>27.4</v>
      </c>
      <c r="D13" s="172"/>
      <c r="E13" s="78"/>
      <c r="F13" s="76"/>
      <c r="G13" s="76"/>
      <c r="H13" s="76"/>
      <c r="I13" s="76"/>
      <c r="J13" s="76"/>
      <c r="K13" s="76"/>
      <c r="L13" s="76"/>
      <c r="M13" s="76"/>
      <c r="N13" s="76">
        <f t="shared" si="1"/>
        <v>0</v>
      </c>
      <c r="O13" s="76">
        <f t="shared" si="0"/>
        <v>-27.4</v>
      </c>
      <c r="P13" s="81">
        <f t="shared" si="2"/>
        <v>7</v>
      </c>
      <c r="Q13" s="81">
        <f t="shared" si="3"/>
        <v>14</v>
      </c>
      <c r="R13" s="81">
        <f t="shared" si="4"/>
        <v>28</v>
      </c>
      <c r="S13" s="81"/>
      <c r="T13" s="81"/>
      <c r="U13" s="78"/>
    </row>
    <row r="14" spans="1:21" x14ac:dyDescent="0.25">
      <c r="A14" s="181"/>
      <c r="B14" s="4">
        <v>10</v>
      </c>
      <c r="C14" s="171">
        <v>27.4</v>
      </c>
      <c r="D14" s="172"/>
      <c r="E14" s="78"/>
      <c r="F14" s="76"/>
      <c r="G14" s="76"/>
      <c r="H14" s="76"/>
      <c r="I14" s="76"/>
      <c r="J14" s="76"/>
      <c r="K14" s="76"/>
      <c r="L14" s="76"/>
      <c r="M14" s="76"/>
      <c r="N14" s="76">
        <f t="shared" si="1"/>
        <v>0</v>
      </c>
      <c r="O14" s="76">
        <f t="shared" si="0"/>
        <v>-27.4</v>
      </c>
      <c r="P14" s="81">
        <f t="shared" si="2"/>
        <v>7</v>
      </c>
      <c r="Q14" s="81">
        <f t="shared" si="3"/>
        <v>14</v>
      </c>
      <c r="R14" s="81">
        <f t="shared" si="4"/>
        <v>28</v>
      </c>
      <c r="S14" s="81"/>
      <c r="T14" s="81"/>
      <c r="U14" s="78"/>
    </row>
    <row r="15" spans="1:21" x14ac:dyDescent="0.25">
      <c r="A15" s="181"/>
      <c r="B15" s="4">
        <v>11</v>
      </c>
      <c r="C15" s="171">
        <v>27.4</v>
      </c>
      <c r="D15" s="172"/>
      <c r="E15" s="78"/>
      <c r="F15" s="79"/>
      <c r="G15" s="76"/>
      <c r="H15" s="79"/>
      <c r="I15" s="76"/>
      <c r="J15" s="79"/>
      <c r="K15" s="76"/>
      <c r="L15" s="76"/>
      <c r="M15" s="76"/>
      <c r="N15" s="76">
        <f t="shared" si="1"/>
        <v>0</v>
      </c>
      <c r="O15" s="76">
        <f t="shared" si="0"/>
        <v>-27.4</v>
      </c>
      <c r="P15" s="81">
        <f t="shared" si="2"/>
        <v>7</v>
      </c>
      <c r="Q15" s="81">
        <f t="shared" si="3"/>
        <v>14</v>
      </c>
      <c r="R15" s="81">
        <f t="shared" si="4"/>
        <v>28</v>
      </c>
      <c r="S15" s="81"/>
      <c r="T15" s="81"/>
      <c r="U15" s="78"/>
    </row>
    <row r="16" spans="1:21" x14ac:dyDescent="0.25">
      <c r="A16" s="181"/>
      <c r="B16" s="4">
        <v>12</v>
      </c>
      <c r="C16" s="171">
        <v>27.4</v>
      </c>
      <c r="D16" s="172"/>
      <c r="E16" s="78"/>
      <c r="F16" s="79"/>
      <c r="G16" s="76"/>
      <c r="H16" s="76"/>
      <c r="I16" s="76"/>
      <c r="J16" s="76"/>
      <c r="K16" s="76"/>
      <c r="L16" s="76"/>
      <c r="M16" s="76"/>
      <c r="N16" s="76">
        <f t="shared" si="1"/>
        <v>0</v>
      </c>
      <c r="O16" s="76">
        <f t="shared" si="0"/>
        <v>-27.4</v>
      </c>
      <c r="P16" s="81">
        <f t="shared" si="2"/>
        <v>7</v>
      </c>
      <c r="Q16" s="81">
        <f t="shared" si="3"/>
        <v>14</v>
      </c>
      <c r="R16" s="81">
        <f t="shared" si="4"/>
        <v>28</v>
      </c>
      <c r="S16" s="81"/>
      <c r="T16" s="81"/>
      <c r="U16" s="78"/>
    </row>
    <row r="17" spans="1:21" x14ac:dyDescent="0.25">
      <c r="A17" s="181"/>
      <c r="B17" s="4">
        <v>13</v>
      </c>
      <c r="C17" s="171">
        <v>27.4</v>
      </c>
      <c r="D17" s="172"/>
      <c r="E17" s="78"/>
      <c r="F17" s="76"/>
      <c r="G17" s="76"/>
      <c r="H17" s="76"/>
      <c r="I17" s="76"/>
      <c r="J17" s="76"/>
      <c r="K17" s="76"/>
      <c r="L17" s="76"/>
      <c r="M17" s="76"/>
      <c r="N17" s="76">
        <f t="shared" si="1"/>
        <v>0</v>
      </c>
      <c r="O17" s="76">
        <f t="shared" si="0"/>
        <v>-27.4</v>
      </c>
      <c r="P17" s="81">
        <f t="shared" si="2"/>
        <v>7</v>
      </c>
      <c r="Q17" s="81">
        <f t="shared" si="3"/>
        <v>14</v>
      </c>
      <c r="R17" s="81">
        <f t="shared" si="4"/>
        <v>28</v>
      </c>
      <c r="S17" s="78"/>
      <c r="T17" s="80"/>
      <c r="U17" s="78"/>
    </row>
    <row r="18" spans="1:21" x14ac:dyDescent="0.25">
      <c r="A18" s="181"/>
      <c r="B18" s="4">
        <v>14</v>
      </c>
      <c r="C18" s="171">
        <v>27.4</v>
      </c>
      <c r="D18" s="172"/>
      <c r="E18" s="78"/>
      <c r="F18" s="79"/>
      <c r="G18" s="76"/>
      <c r="H18" s="79"/>
      <c r="I18" s="76"/>
      <c r="J18" s="79"/>
      <c r="K18" s="76"/>
      <c r="L18" s="79"/>
      <c r="M18" s="76"/>
      <c r="N18" s="76">
        <f t="shared" si="1"/>
        <v>0</v>
      </c>
      <c r="O18" s="76">
        <f t="shared" si="0"/>
        <v>-27.4</v>
      </c>
      <c r="P18" s="81">
        <f t="shared" si="2"/>
        <v>7</v>
      </c>
      <c r="Q18" s="81">
        <f t="shared" si="3"/>
        <v>14</v>
      </c>
      <c r="R18" s="81">
        <f t="shared" si="4"/>
        <v>28</v>
      </c>
      <c r="S18" s="78"/>
      <c r="T18" s="80"/>
      <c r="U18" s="78"/>
    </row>
    <row r="19" spans="1:21" x14ac:dyDescent="0.25">
      <c r="A19" s="181"/>
      <c r="B19" s="4">
        <v>15</v>
      </c>
      <c r="C19" s="171">
        <v>27.4</v>
      </c>
      <c r="D19" s="172"/>
      <c r="E19" s="78"/>
      <c r="F19" s="79"/>
      <c r="G19" s="76"/>
      <c r="H19" s="79"/>
      <c r="I19" s="76"/>
      <c r="J19" s="79"/>
      <c r="K19" s="76"/>
      <c r="L19" s="79"/>
      <c r="M19" s="76"/>
      <c r="N19" s="76">
        <f t="shared" si="1"/>
        <v>0</v>
      </c>
      <c r="O19" s="76">
        <f t="shared" si="0"/>
        <v>-27.4</v>
      </c>
      <c r="P19" s="78">
        <f t="shared" si="2"/>
        <v>7</v>
      </c>
      <c r="Q19" s="80">
        <f t="shared" si="3"/>
        <v>14</v>
      </c>
      <c r="R19" s="78">
        <f t="shared" si="4"/>
        <v>28</v>
      </c>
      <c r="S19" s="78"/>
      <c r="T19" s="80"/>
      <c r="U19" s="78"/>
    </row>
    <row r="20" spans="1:21" x14ac:dyDescent="0.25">
      <c r="A20" s="181"/>
      <c r="B20" s="4">
        <v>16</v>
      </c>
      <c r="C20" s="171">
        <v>27.4</v>
      </c>
      <c r="D20" s="172"/>
      <c r="E20" s="78"/>
      <c r="F20" s="79"/>
      <c r="G20" s="76"/>
      <c r="H20" s="79"/>
      <c r="I20" s="76"/>
      <c r="J20" s="79"/>
      <c r="K20" s="76"/>
      <c r="L20" s="79"/>
      <c r="M20" s="76"/>
      <c r="N20" s="76">
        <f t="shared" si="1"/>
        <v>0</v>
      </c>
      <c r="O20" s="76">
        <f t="shared" si="0"/>
        <v>-27.4</v>
      </c>
      <c r="P20" s="78">
        <f t="shared" si="2"/>
        <v>7</v>
      </c>
      <c r="Q20" s="80">
        <f t="shared" si="3"/>
        <v>14</v>
      </c>
      <c r="R20" s="78">
        <f t="shared" si="4"/>
        <v>28</v>
      </c>
      <c r="S20" s="78"/>
      <c r="T20" s="80"/>
      <c r="U20" s="78"/>
    </row>
    <row r="21" spans="1:21" x14ac:dyDescent="0.25">
      <c r="A21" s="181"/>
      <c r="B21" s="4">
        <v>17</v>
      </c>
      <c r="C21" s="171">
        <v>27.4</v>
      </c>
      <c r="D21" s="172"/>
      <c r="E21" s="78"/>
      <c r="F21" s="79"/>
      <c r="G21" s="76"/>
      <c r="H21" s="79"/>
      <c r="I21" s="76"/>
      <c r="J21" s="79"/>
      <c r="K21" s="76"/>
      <c r="L21" s="79"/>
      <c r="M21" s="76"/>
      <c r="N21" s="76">
        <f t="shared" si="1"/>
        <v>0</v>
      </c>
      <c r="O21" s="76">
        <f t="shared" si="0"/>
        <v>-27.4</v>
      </c>
      <c r="P21" s="78">
        <f t="shared" si="2"/>
        <v>7</v>
      </c>
      <c r="Q21" s="80">
        <f t="shared" si="3"/>
        <v>14</v>
      </c>
      <c r="R21" s="78">
        <f t="shared" si="4"/>
        <v>28</v>
      </c>
      <c r="S21" s="78"/>
      <c r="T21" s="80"/>
      <c r="U21" s="78"/>
    </row>
    <row r="22" spans="1:21" x14ac:dyDescent="0.25">
      <c r="A22" s="181"/>
      <c r="B22" s="4">
        <v>18</v>
      </c>
      <c r="C22" s="171">
        <v>27.4</v>
      </c>
      <c r="D22" s="172"/>
      <c r="E22" s="78"/>
      <c r="F22" s="79"/>
      <c r="G22" s="76"/>
      <c r="H22" s="79"/>
      <c r="I22" s="76"/>
      <c r="J22" s="79"/>
      <c r="K22" s="76"/>
      <c r="L22" s="79"/>
      <c r="M22" s="76"/>
      <c r="N22" s="76">
        <f t="shared" si="1"/>
        <v>0</v>
      </c>
      <c r="O22" s="76">
        <f t="shared" si="0"/>
        <v>-27.4</v>
      </c>
      <c r="P22" s="78">
        <f t="shared" si="2"/>
        <v>7</v>
      </c>
      <c r="Q22" s="80">
        <f t="shared" si="3"/>
        <v>14</v>
      </c>
      <c r="R22" s="78">
        <f t="shared" si="4"/>
        <v>28</v>
      </c>
      <c r="S22" s="78"/>
      <c r="T22" s="80"/>
      <c r="U22" s="78"/>
    </row>
    <row r="23" spans="1:21" x14ac:dyDescent="0.25">
      <c r="A23" s="181"/>
      <c r="B23" s="4">
        <v>19</v>
      </c>
      <c r="C23" s="171">
        <v>27.4</v>
      </c>
      <c r="D23" s="172"/>
      <c r="E23" s="78"/>
      <c r="F23" s="79"/>
      <c r="G23" s="76"/>
      <c r="H23" s="79"/>
      <c r="I23" s="76"/>
      <c r="J23" s="79"/>
      <c r="K23" s="76"/>
      <c r="L23" s="79"/>
      <c r="M23" s="76"/>
      <c r="N23" s="76">
        <f t="shared" si="1"/>
        <v>0</v>
      </c>
      <c r="O23" s="76">
        <f t="shared" si="0"/>
        <v>-27.4</v>
      </c>
      <c r="P23" s="78">
        <f t="shared" si="2"/>
        <v>7</v>
      </c>
      <c r="Q23" s="80">
        <f t="shared" si="3"/>
        <v>14</v>
      </c>
      <c r="R23" s="78">
        <f t="shared" si="4"/>
        <v>28</v>
      </c>
      <c r="S23" s="78"/>
      <c r="T23" s="80"/>
      <c r="U23" s="78"/>
    </row>
    <row r="24" spans="1:21" x14ac:dyDescent="0.25">
      <c r="A24" s="181"/>
      <c r="B24" s="4">
        <v>20</v>
      </c>
      <c r="C24" s="171">
        <v>27.4</v>
      </c>
      <c r="D24" s="172"/>
      <c r="E24" s="78"/>
      <c r="F24" s="79"/>
      <c r="G24" s="76"/>
      <c r="H24" s="79"/>
      <c r="I24" s="76"/>
      <c r="J24" s="79"/>
      <c r="K24" s="76"/>
      <c r="L24" s="79"/>
      <c r="M24" s="76"/>
      <c r="N24" s="76">
        <f t="shared" si="1"/>
        <v>0</v>
      </c>
      <c r="O24" s="76">
        <f t="shared" si="0"/>
        <v>-27.4</v>
      </c>
      <c r="P24" s="78">
        <f t="shared" si="2"/>
        <v>7</v>
      </c>
      <c r="Q24" s="80">
        <f t="shared" si="3"/>
        <v>14</v>
      </c>
      <c r="R24" s="78">
        <f t="shared" si="4"/>
        <v>28</v>
      </c>
      <c r="S24" s="78"/>
      <c r="T24" s="80"/>
      <c r="U24" s="78"/>
    </row>
    <row r="25" spans="1:21" x14ac:dyDescent="0.25">
      <c r="A25" s="181"/>
      <c r="B25" s="4">
        <v>21</v>
      </c>
      <c r="C25" s="171">
        <v>27.4</v>
      </c>
      <c r="D25" s="172"/>
      <c r="E25" s="78"/>
      <c r="F25" s="79"/>
      <c r="G25" s="76"/>
      <c r="H25" s="79"/>
      <c r="I25" s="76"/>
      <c r="J25" s="79"/>
      <c r="K25" s="76"/>
      <c r="L25" s="79"/>
      <c r="M25" s="76"/>
      <c r="N25" s="76">
        <f t="shared" si="1"/>
        <v>0</v>
      </c>
      <c r="O25" s="76">
        <f t="shared" si="0"/>
        <v>-27.4</v>
      </c>
      <c r="P25" s="78">
        <f t="shared" si="2"/>
        <v>7</v>
      </c>
      <c r="Q25" s="80">
        <f t="shared" si="3"/>
        <v>14</v>
      </c>
      <c r="R25" s="78">
        <f t="shared" si="4"/>
        <v>28</v>
      </c>
      <c r="S25" s="78"/>
      <c r="T25" s="80"/>
      <c r="U25" s="78"/>
    </row>
    <row r="26" spans="1:21" x14ac:dyDescent="0.25">
      <c r="A26" s="181"/>
      <c r="B26" s="4">
        <v>22</v>
      </c>
      <c r="C26" s="171">
        <v>27.4</v>
      </c>
      <c r="D26" s="172"/>
      <c r="E26" s="78"/>
      <c r="F26" s="79"/>
      <c r="G26" s="76"/>
      <c r="H26" s="79"/>
      <c r="I26" s="76"/>
      <c r="J26" s="79"/>
      <c r="K26" s="76"/>
      <c r="L26" s="79"/>
      <c r="M26" s="76"/>
      <c r="N26" s="76">
        <f t="shared" si="1"/>
        <v>0</v>
      </c>
      <c r="O26" s="76">
        <f t="shared" si="0"/>
        <v>-27.4</v>
      </c>
      <c r="P26" s="78">
        <f t="shared" si="2"/>
        <v>7</v>
      </c>
      <c r="Q26" s="80">
        <f t="shared" si="3"/>
        <v>14</v>
      </c>
      <c r="R26" s="78">
        <f t="shared" si="4"/>
        <v>28</v>
      </c>
      <c r="S26" s="78"/>
      <c r="T26" s="80"/>
      <c r="U26" s="78"/>
    </row>
    <row r="27" spans="1:21" x14ac:dyDescent="0.25">
      <c r="A27" s="181"/>
      <c r="B27" s="4">
        <v>23</v>
      </c>
      <c r="C27" s="171">
        <v>27.4</v>
      </c>
      <c r="D27" s="172"/>
      <c r="E27" s="78"/>
      <c r="F27" s="79"/>
      <c r="G27" s="76"/>
      <c r="H27" s="79"/>
      <c r="I27" s="76"/>
      <c r="J27" s="79"/>
      <c r="K27" s="76"/>
      <c r="L27" s="79"/>
      <c r="M27" s="76"/>
      <c r="N27" s="76">
        <f t="shared" si="1"/>
        <v>0</v>
      </c>
      <c r="O27" s="76">
        <f t="shared" si="0"/>
        <v>-27.4</v>
      </c>
      <c r="P27" s="78">
        <f t="shared" si="2"/>
        <v>7</v>
      </c>
      <c r="Q27" s="80">
        <f t="shared" si="3"/>
        <v>14</v>
      </c>
      <c r="R27" s="78">
        <f t="shared" si="4"/>
        <v>28</v>
      </c>
      <c r="S27" s="78"/>
      <c r="T27" s="80"/>
      <c r="U27" s="78"/>
    </row>
    <row r="28" spans="1:21" x14ac:dyDescent="0.25">
      <c r="A28" s="182"/>
      <c r="B28" s="4">
        <v>24</v>
      </c>
      <c r="C28" s="171">
        <v>27.4</v>
      </c>
      <c r="D28" s="172"/>
      <c r="E28" s="78"/>
      <c r="F28" s="79"/>
      <c r="G28" s="76"/>
      <c r="H28" s="79"/>
      <c r="I28" s="76"/>
      <c r="J28" s="79"/>
      <c r="K28" s="76"/>
      <c r="L28" s="79"/>
      <c r="M28" s="76"/>
      <c r="N28" s="76">
        <f t="shared" si="1"/>
        <v>0</v>
      </c>
      <c r="O28" s="76">
        <f t="shared" si="0"/>
        <v>-27.4</v>
      </c>
      <c r="P28" s="78">
        <f t="shared" si="2"/>
        <v>7</v>
      </c>
      <c r="Q28" s="80">
        <f t="shared" si="3"/>
        <v>14</v>
      </c>
      <c r="R28" s="78">
        <f t="shared" si="4"/>
        <v>28</v>
      </c>
      <c r="S28" s="78"/>
      <c r="T28" s="80"/>
      <c r="U28" s="78"/>
    </row>
    <row r="29" spans="1:21" x14ac:dyDescent="0.25">
      <c r="A29" s="74" t="s">
        <v>68</v>
      </c>
      <c r="B29" s="77"/>
      <c r="C29" s="171">
        <f>SUM(C5:D28)</f>
        <v>657.59999999999968</v>
      </c>
      <c r="D29" s="172"/>
      <c r="E29" s="174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</row>
  </sheetData>
  <mergeCells count="46">
    <mergeCell ref="H1:H4"/>
    <mergeCell ref="A1:B3"/>
    <mergeCell ref="C1:D4"/>
    <mergeCell ref="E1:E4"/>
    <mergeCell ref="F1:F4"/>
    <mergeCell ref="G1:G4"/>
    <mergeCell ref="T1:T4"/>
    <mergeCell ref="I1:I4"/>
    <mergeCell ref="J1:J4"/>
    <mergeCell ref="K1:K4"/>
    <mergeCell ref="L1:L4"/>
    <mergeCell ref="M1:M4"/>
    <mergeCell ref="N1:N4"/>
    <mergeCell ref="C18:D18"/>
    <mergeCell ref="U1:U4"/>
    <mergeCell ref="A5:A28"/>
    <mergeCell ref="C5:D5"/>
    <mergeCell ref="C6:D6"/>
    <mergeCell ref="C7:D7"/>
    <mergeCell ref="C8:D8"/>
    <mergeCell ref="C9:D9"/>
    <mergeCell ref="C10:D10"/>
    <mergeCell ref="C11:D11"/>
    <mergeCell ref="C12:D12"/>
    <mergeCell ref="O1:O4"/>
    <mergeCell ref="P1:P4"/>
    <mergeCell ref="Q1:Q4"/>
    <mergeCell ref="R1:R4"/>
    <mergeCell ref="S1:S4"/>
    <mergeCell ref="C13:D13"/>
    <mergeCell ref="C14:D14"/>
    <mergeCell ref="C15:D15"/>
    <mergeCell ref="C16:D16"/>
    <mergeCell ref="C17:D17"/>
    <mergeCell ref="E29:U29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36631-C72B-4EC7-8588-1C647F3ABB25}">
  <dimension ref="A1:U29"/>
  <sheetViews>
    <sheetView zoomScale="70" zoomScaleNormal="70" workbookViewId="0">
      <selection activeCell="E6" sqref="E6"/>
    </sheetView>
  </sheetViews>
  <sheetFormatPr defaultRowHeight="15" x14ac:dyDescent="0.25"/>
  <cols>
    <col min="2" max="3" width="10.7109375" customWidth="1"/>
    <col min="4" max="4" width="11.28515625" customWidth="1"/>
    <col min="5" max="5" width="16.7109375" customWidth="1"/>
    <col min="6" max="15" width="16.85546875" customWidth="1"/>
    <col min="16" max="17" width="17.140625" customWidth="1"/>
    <col min="18" max="18" width="18.140625" customWidth="1"/>
    <col min="19" max="20" width="17.28515625" customWidth="1"/>
    <col min="21" max="21" width="18.7109375" customWidth="1"/>
  </cols>
  <sheetData>
    <row r="1" spans="1:21" ht="15" customHeight="1" x14ac:dyDescent="0.25">
      <c r="A1" s="128" t="s">
        <v>89</v>
      </c>
      <c r="B1" s="128"/>
      <c r="C1" s="174" t="s">
        <v>69</v>
      </c>
      <c r="D1" s="175"/>
      <c r="E1" s="173" t="s">
        <v>67</v>
      </c>
      <c r="F1" s="183" t="s">
        <v>70</v>
      </c>
      <c r="G1" s="187" t="s">
        <v>71</v>
      </c>
      <c r="H1" s="183" t="s">
        <v>70</v>
      </c>
      <c r="I1" s="187" t="s">
        <v>71</v>
      </c>
      <c r="J1" s="183" t="s">
        <v>70</v>
      </c>
      <c r="K1" s="187" t="s">
        <v>71</v>
      </c>
      <c r="L1" s="183" t="s">
        <v>70</v>
      </c>
      <c r="M1" s="187" t="s">
        <v>71</v>
      </c>
      <c r="N1" s="183" t="s">
        <v>68</v>
      </c>
      <c r="O1" s="183" t="s">
        <v>74</v>
      </c>
      <c r="P1" s="170" t="s">
        <v>72</v>
      </c>
      <c r="Q1" s="170" t="s">
        <v>78</v>
      </c>
      <c r="R1" s="170" t="s">
        <v>73</v>
      </c>
      <c r="S1" s="170" t="s">
        <v>76</v>
      </c>
      <c r="T1" s="170" t="s">
        <v>79</v>
      </c>
      <c r="U1" s="170" t="s">
        <v>77</v>
      </c>
    </row>
    <row r="2" spans="1:21" x14ac:dyDescent="0.25">
      <c r="A2" s="128"/>
      <c r="B2" s="128"/>
      <c r="C2" s="176"/>
      <c r="D2" s="177"/>
      <c r="E2" s="173"/>
      <c r="F2" s="184"/>
      <c r="G2" s="188"/>
      <c r="H2" s="184"/>
      <c r="I2" s="188"/>
      <c r="J2" s="184"/>
      <c r="K2" s="188"/>
      <c r="L2" s="184"/>
      <c r="M2" s="188"/>
      <c r="N2" s="184"/>
      <c r="O2" s="184"/>
      <c r="P2" s="170"/>
      <c r="Q2" s="170"/>
      <c r="R2" s="170"/>
      <c r="S2" s="170"/>
      <c r="T2" s="170"/>
      <c r="U2" s="170"/>
    </row>
    <row r="3" spans="1:21" ht="15" customHeight="1" x14ac:dyDescent="0.25">
      <c r="A3" s="128"/>
      <c r="B3" s="128"/>
      <c r="C3" s="176"/>
      <c r="D3" s="177"/>
      <c r="E3" s="173"/>
      <c r="F3" s="184"/>
      <c r="G3" s="188"/>
      <c r="H3" s="184"/>
      <c r="I3" s="188"/>
      <c r="J3" s="184"/>
      <c r="K3" s="188"/>
      <c r="L3" s="184"/>
      <c r="M3" s="188"/>
      <c r="N3" s="184"/>
      <c r="O3" s="184"/>
      <c r="P3" s="170"/>
      <c r="Q3" s="170"/>
      <c r="R3" s="170"/>
      <c r="S3" s="170"/>
      <c r="T3" s="170"/>
      <c r="U3" s="170"/>
    </row>
    <row r="4" spans="1:21" x14ac:dyDescent="0.25">
      <c r="A4" s="2" t="s">
        <v>0</v>
      </c>
      <c r="B4" s="75" t="s">
        <v>88</v>
      </c>
      <c r="C4" s="178"/>
      <c r="D4" s="179"/>
      <c r="E4" s="173"/>
      <c r="F4" s="185"/>
      <c r="G4" s="189"/>
      <c r="H4" s="185"/>
      <c r="I4" s="189"/>
      <c r="J4" s="185"/>
      <c r="K4" s="189"/>
      <c r="L4" s="185"/>
      <c r="M4" s="189"/>
      <c r="N4" s="185"/>
      <c r="O4" s="185"/>
      <c r="P4" s="170"/>
      <c r="Q4" s="170"/>
      <c r="R4" s="170"/>
      <c r="S4" s="170"/>
      <c r="T4" s="170"/>
      <c r="U4" s="170"/>
    </row>
    <row r="5" spans="1:21" x14ac:dyDescent="0.25">
      <c r="A5" s="180" t="s">
        <v>86</v>
      </c>
      <c r="B5" s="4">
        <v>1</v>
      </c>
      <c r="C5" s="171">
        <v>27.4</v>
      </c>
      <c r="D5" s="172"/>
      <c r="E5" s="78">
        <v>46253</v>
      </c>
      <c r="F5" s="76"/>
      <c r="G5" s="76"/>
      <c r="H5" s="76"/>
      <c r="I5" s="76"/>
      <c r="J5" s="76"/>
      <c r="K5" s="76"/>
      <c r="L5" s="76"/>
      <c r="M5" s="76"/>
      <c r="N5" s="76">
        <f>G5+I5+K5+M5</f>
        <v>0</v>
      </c>
      <c r="O5" s="76">
        <f t="shared" ref="O5:O28" si="0">N5-C5</f>
        <v>-27.4</v>
      </c>
      <c r="P5" s="81">
        <f>E5+7</f>
        <v>46260</v>
      </c>
      <c r="Q5" s="81">
        <f>E5+14</f>
        <v>46267</v>
      </c>
      <c r="R5" s="81">
        <f>E5+28</f>
        <v>46281</v>
      </c>
      <c r="S5" s="81"/>
      <c r="T5" s="81"/>
      <c r="U5" s="78"/>
    </row>
    <row r="6" spans="1:21" x14ac:dyDescent="0.25">
      <c r="A6" s="181"/>
      <c r="B6" s="4">
        <v>2</v>
      </c>
      <c r="C6" s="171">
        <v>27.4</v>
      </c>
      <c r="D6" s="172"/>
      <c r="E6" s="78"/>
      <c r="F6" s="76"/>
      <c r="G6" s="76"/>
      <c r="H6" s="76"/>
      <c r="I6" s="76"/>
      <c r="J6" s="76"/>
      <c r="K6" s="76"/>
      <c r="L6" s="76"/>
      <c r="M6" s="76"/>
      <c r="N6" s="76">
        <f t="shared" ref="N6:N28" si="1">G6+I6+K6+M6</f>
        <v>0</v>
      </c>
      <c r="O6" s="76">
        <f t="shared" si="0"/>
        <v>-27.4</v>
      </c>
      <c r="P6" s="81">
        <f t="shared" ref="P6:P28" si="2">E6+7</f>
        <v>7</v>
      </c>
      <c r="Q6" s="81">
        <f t="shared" ref="Q6:Q28" si="3">E6+14</f>
        <v>14</v>
      </c>
      <c r="R6" s="81">
        <f t="shared" ref="R6:R28" si="4">E6+28</f>
        <v>28</v>
      </c>
      <c r="S6" s="81"/>
      <c r="T6" s="81"/>
      <c r="U6" s="78"/>
    </row>
    <row r="7" spans="1:21" x14ac:dyDescent="0.25">
      <c r="A7" s="181"/>
      <c r="B7" s="4">
        <v>3</v>
      </c>
      <c r="C7" s="171">
        <v>27.4</v>
      </c>
      <c r="D7" s="172"/>
      <c r="E7" s="78"/>
      <c r="F7" s="76"/>
      <c r="G7" s="76"/>
      <c r="H7" s="76"/>
      <c r="I7" s="76"/>
      <c r="J7" s="76"/>
      <c r="K7" s="76"/>
      <c r="L7" s="76"/>
      <c r="M7" s="76"/>
      <c r="N7" s="76">
        <f t="shared" si="1"/>
        <v>0</v>
      </c>
      <c r="O7" s="76">
        <f t="shared" si="0"/>
        <v>-27.4</v>
      </c>
      <c r="P7" s="81">
        <f t="shared" si="2"/>
        <v>7</v>
      </c>
      <c r="Q7" s="81">
        <f t="shared" si="3"/>
        <v>14</v>
      </c>
      <c r="R7" s="81">
        <f t="shared" si="4"/>
        <v>28</v>
      </c>
      <c r="S7" s="81"/>
      <c r="T7" s="81"/>
      <c r="U7" s="78" t="s">
        <v>75</v>
      </c>
    </row>
    <row r="8" spans="1:21" x14ac:dyDescent="0.25">
      <c r="A8" s="181"/>
      <c r="B8" s="4">
        <v>4</v>
      </c>
      <c r="C8" s="171">
        <v>27.4</v>
      </c>
      <c r="D8" s="172"/>
      <c r="E8" s="78"/>
      <c r="F8" s="76"/>
      <c r="G8" s="76"/>
      <c r="H8" s="76"/>
      <c r="I8" s="76"/>
      <c r="J8" s="76"/>
      <c r="K8" s="76"/>
      <c r="L8" s="76"/>
      <c r="M8" s="76"/>
      <c r="N8" s="76">
        <f t="shared" si="1"/>
        <v>0</v>
      </c>
      <c r="O8" s="76">
        <f t="shared" si="0"/>
        <v>-27.4</v>
      </c>
      <c r="P8" s="81">
        <f t="shared" si="2"/>
        <v>7</v>
      </c>
      <c r="Q8" s="81">
        <f t="shared" si="3"/>
        <v>14</v>
      </c>
      <c r="R8" s="81">
        <f t="shared" si="4"/>
        <v>28</v>
      </c>
      <c r="S8" s="81"/>
      <c r="T8" s="81"/>
      <c r="U8" s="78"/>
    </row>
    <row r="9" spans="1:21" x14ac:dyDescent="0.25">
      <c r="A9" s="181"/>
      <c r="B9" s="4">
        <v>5</v>
      </c>
      <c r="C9" s="171">
        <v>27.4</v>
      </c>
      <c r="D9" s="172"/>
      <c r="E9" s="78">
        <v>46252</v>
      </c>
      <c r="F9" s="76"/>
      <c r="G9" s="76"/>
      <c r="H9" s="76"/>
      <c r="I9" s="76"/>
      <c r="J9" s="76"/>
      <c r="K9" s="76"/>
      <c r="L9" s="76"/>
      <c r="M9" s="76"/>
      <c r="N9" s="76">
        <f t="shared" si="1"/>
        <v>0</v>
      </c>
      <c r="O9" s="76">
        <f t="shared" si="0"/>
        <v>-27.4</v>
      </c>
      <c r="P9" s="81">
        <f t="shared" si="2"/>
        <v>46259</v>
      </c>
      <c r="Q9" s="81">
        <f t="shared" si="3"/>
        <v>46266</v>
      </c>
      <c r="R9" s="81">
        <f t="shared" si="4"/>
        <v>46280</v>
      </c>
      <c r="S9" s="81"/>
      <c r="T9" s="81"/>
      <c r="U9" s="78"/>
    </row>
    <row r="10" spans="1:21" x14ac:dyDescent="0.25">
      <c r="A10" s="181"/>
      <c r="B10" s="4">
        <v>6</v>
      </c>
      <c r="C10" s="171">
        <v>27.4</v>
      </c>
      <c r="D10" s="172"/>
      <c r="E10" s="78"/>
      <c r="F10" s="76"/>
      <c r="G10" s="76"/>
      <c r="H10" s="76"/>
      <c r="I10" s="76"/>
      <c r="J10" s="76"/>
      <c r="K10" s="76"/>
      <c r="L10" s="76"/>
      <c r="M10" s="76"/>
      <c r="N10" s="76">
        <f t="shared" si="1"/>
        <v>0</v>
      </c>
      <c r="O10" s="76">
        <f t="shared" si="0"/>
        <v>-27.4</v>
      </c>
      <c r="P10" s="81">
        <f t="shared" si="2"/>
        <v>7</v>
      </c>
      <c r="Q10" s="81">
        <f t="shared" si="3"/>
        <v>14</v>
      </c>
      <c r="R10" s="81">
        <f t="shared" si="4"/>
        <v>28</v>
      </c>
      <c r="S10" s="81"/>
      <c r="T10" s="81"/>
      <c r="U10" s="78"/>
    </row>
    <row r="11" spans="1:21" x14ac:dyDescent="0.25">
      <c r="A11" s="181"/>
      <c r="B11" s="4">
        <v>7</v>
      </c>
      <c r="C11" s="171">
        <v>27.4</v>
      </c>
      <c r="D11" s="172"/>
      <c r="E11" s="78"/>
      <c r="F11" s="79"/>
      <c r="G11" s="76"/>
      <c r="H11" s="79"/>
      <c r="I11" s="76"/>
      <c r="J11" s="79"/>
      <c r="K11" s="76"/>
      <c r="L11" s="76"/>
      <c r="M11" s="76"/>
      <c r="N11" s="76">
        <f t="shared" si="1"/>
        <v>0</v>
      </c>
      <c r="O11" s="76">
        <f t="shared" si="0"/>
        <v>-27.4</v>
      </c>
      <c r="P11" s="81">
        <f t="shared" si="2"/>
        <v>7</v>
      </c>
      <c r="Q11" s="81">
        <f t="shared" si="3"/>
        <v>14</v>
      </c>
      <c r="R11" s="81">
        <f t="shared" si="4"/>
        <v>28</v>
      </c>
      <c r="S11" s="81"/>
      <c r="T11" s="81"/>
      <c r="U11" s="78"/>
    </row>
    <row r="12" spans="1:21" x14ac:dyDescent="0.25">
      <c r="A12" s="181"/>
      <c r="B12" s="4">
        <v>8</v>
      </c>
      <c r="C12" s="171">
        <v>27.4</v>
      </c>
      <c r="D12" s="172"/>
      <c r="E12" s="76"/>
      <c r="F12" s="76"/>
      <c r="G12" s="76"/>
      <c r="H12" s="76"/>
      <c r="I12" s="76"/>
      <c r="J12" s="76"/>
      <c r="K12" s="76"/>
      <c r="L12" s="76"/>
      <c r="M12" s="76"/>
      <c r="N12" s="76">
        <f t="shared" si="1"/>
        <v>0</v>
      </c>
      <c r="O12" s="76">
        <f t="shared" si="0"/>
        <v>-27.4</v>
      </c>
      <c r="P12" s="81">
        <f t="shared" si="2"/>
        <v>7</v>
      </c>
      <c r="Q12" s="81">
        <f t="shared" si="3"/>
        <v>14</v>
      </c>
      <c r="R12" s="81">
        <f t="shared" si="4"/>
        <v>28</v>
      </c>
      <c r="S12" s="81"/>
      <c r="T12" s="81"/>
      <c r="U12" s="78"/>
    </row>
    <row r="13" spans="1:21" x14ac:dyDescent="0.25">
      <c r="A13" s="181"/>
      <c r="B13" s="4">
        <v>9</v>
      </c>
      <c r="C13" s="171">
        <v>27.4</v>
      </c>
      <c r="D13" s="172"/>
      <c r="E13" s="78"/>
      <c r="F13" s="76"/>
      <c r="G13" s="76"/>
      <c r="H13" s="76"/>
      <c r="I13" s="76"/>
      <c r="J13" s="76"/>
      <c r="K13" s="76"/>
      <c r="L13" s="76"/>
      <c r="M13" s="76"/>
      <c r="N13" s="76">
        <f t="shared" si="1"/>
        <v>0</v>
      </c>
      <c r="O13" s="76">
        <f t="shared" si="0"/>
        <v>-27.4</v>
      </c>
      <c r="P13" s="81">
        <f t="shared" si="2"/>
        <v>7</v>
      </c>
      <c r="Q13" s="81">
        <f t="shared" si="3"/>
        <v>14</v>
      </c>
      <c r="R13" s="81">
        <f t="shared" si="4"/>
        <v>28</v>
      </c>
      <c r="S13" s="81"/>
      <c r="T13" s="81"/>
      <c r="U13" s="78"/>
    </row>
    <row r="14" spans="1:21" x14ac:dyDescent="0.25">
      <c r="A14" s="181"/>
      <c r="B14" s="4">
        <v>10</v>
      </c>
      <c r="C14" s="171">
        <v>27.4</v>
      </c>
      <c r="D14" s="172"/>
      <c r="E14" s="78"/>
      <c r="F14" s="76"/>
      <c r="G14" s="76"/>
      <c r="H14" s="76"/>
      <c r="I14" s="76"/>
      <c r="J14" s="76"/>
      <c r="K14" s="76"/>
      <c r="L14" s="76"/>
      <c r="M14" s="76"/>
      <c r="N14" s="76">
        <f t="shared" si="1"/>
        <v>0</v>
      </c>
      <c r="O14" s="76">
        <f t="shared" si="0"/>
        <v>-27.4</v>
      </c>
      <c r="P14" s="81">
        <f t="shared" si="2"/>
        <v>7</v>
      </c>
      <c r="Q14" s="81">
        <f t="shared" si="3"/>
        <v>14</v>
      </c>
      <c r="R14" s="81">
        <f t="shared" si="4"/>
        <v>28</v>
      </c>
      <c r="S14" s="81"/>
      <c r="T14" s="81"/>
      <c r="U14" s="78"/>
    </row>
    <row r="15" spans="1:21" x14ac:dyDescent="0.25">
      <c r="A15" s="181"/>
      <c r="B15" s="4">
        <v>11</v>
      </c>
      <c r="C15" s="171">
        <v>27.4</v>
      </c>
      <c r="D15" s="172"/>
      <c r="E15" s="78"/>
      <c r="F15" s="79"/>
      <c r="G15" s="76"/>
      <c r="H15" s="79"/>
      <c r="I15" s="76"/>
      <c r="J15" s="79"/>
      <c r="K15" s="76"/>
      <c r="L15" s="76"/>
      <c r="M15" s="76"/>
      <c r="N15" s="76">
        <f t="shared" si="1"/>
        <v>0</v>
      </c>
      <c r="O15" s="76">
        <f t="shared" si="0"/>
        <v>-27.4</v>
      </c>
      <c r="P15" s="81">
        <f t="shared" si="2"/>
        <v>7</v>
      </c>
      <c r="Q15" s="81">
        <f t="shared" si="3"/>
        <v>14</v>
      </c>
      <c r="R15" s="81">
        <f t="shared" si="4"/>
        <v>28</v>
      </c>
      <c r="S15" s="81"/>
      <c r="T15" s="81"/>
      <c r="U15" s="78"/>
    </row>
    <row r="16" spans="1:21" x14ac:dyDescent="0.25">
      <c r="A16" s="181"/>
      <c r="B16" s="4">
        <v>12</v>
      </c>
      <c r="C16" s="171">
        <v>27.4</v>
      </c>
      <c r="D16" s="172"/>
      <c r="E16" s="78"/>
      <c r="F16" s="79"/>
      <c r="G16" s="76"/>
      <c r="H16" s="76"/>
      <c r="I16" s="76"/>
      <c r="J16" s="76"/>
      <c r="K16" s="76"/>
      <c r="L16" s="76"/>
      <c r="M16" s="76"/>
      <c r="N16" s="76">
        <f t="shared" si="1"/>
        <v>0</v>
      </c>
      <c r="O16" s="76">
        <f t="shared" si="0"/>
        <v>-27.4</v>
      </c>
      <c r="P16" s="81">
        <f t="shared" si="2"/>
        <v>7</v>
      </c>
      <c r="Q16" s="81">
        <f t="shared" si="3"/>
        <v>14</v>
      </c>
      <c r="R16" s="81">
        <f t="shared" si="4"/>
        <v>28</v>
      </c>
      <c r="S16" s="81"/>
      <c r="T16" s="81"/>
      <c r="U16" s="78"/>
    </row>
    <row r="17" spans="1:21" x14ac:dyDescent="0.25">
      <c r="A17" s="181"/>
      <c r="B17" s="4">
        <v>13</v>
      </c>
      <c r="C17" s="171">
        <v>27.4</v>
      </c>
      <c r="D17" s="172"/>
      <c r="E17" s="78"/>
      <c r="F17" s="76"/>
      <c r="G17" s="76"/>
      <c r="H17" s="76"/>
      <c r="I17" s="76"/>
      <c r="J17" s="76"/>
      <c r="K17" s="76"/>
      <c r="L17" s="76"/>
      <c r="M17" s="76"/>
      <c r="N17" s="76">
        <f t="shared" si="1"/>
        <v>0</v>
      </c>
      <c r="O17" s="76">
        <f t="shared" si="0"/>
        <v>-27.4</v>
      </c>
      <c r="P17" s="81">
        <f t="shared" si="2"/>
        <v>7</v>
      </c>
      <c r="Q17" s="81">
        <f t="shared" si="3"/>
        <v>14</v>
      </c>
      <c r="R17" s="81">
        <f t="shared" si="4"/>
        <v>28</v>
      </c>
      <c r="S17" s="78"/>
      <c r="T17" s="80"/>
      <c r="U17" s="78"/>
    </row>
    <row r="18" spans="1:21" x14ac:dyDescent="0.25">
      <c r="A18" s="181"/>
      <c r="B18" s="4">
        <v>14</v>
      </c>
      <c r="C18" s="171">
        <v>27.4</v>
      </c>
      <c r="D18" s="172"/>
      <c r="E18" s="78"/>
      <c r="F18" s="79"/>
      <c r="G18" s="76"/>
      <c r="H18" s="79"/>
      <c r="I18" s="76"/>
      <c r="J18" s="79"/>
      <c r="K18" s="76"/>
      <c r="L18" s="79"/>
      <c r="M18" s="76"/>
      <c r="N18" s="76">
        <f t="shared" si="1"/>
        <v>0</v>
      </c>
      <c r="O18" s="76">
        <f t="shared" si="0"/>
        <v>-27.4</v>
      </c>
      <c r="P18" s="81">
        <f t="shared" si="2"/>
        <v>7</v>
      </c>
      <c r="Q18" s="81">
        <f t="shared" si="3"/>
        <v>14</v>
      </c>
      <c r="R18" s="81">
        <f t="shared" si="4"/>
        <v>28</v>
      </c>
      <c r="S18" s="78"/>
      <c r="T18" s="80"/>
      <c r="U18" s="78"/>
    </row>
    <row r="19" spans="1:21" x14ac:dyDescent="0.25">
      <c r="A19" s="181"/>
      <c r="B19" s="4">
        <v>15</v>
      </c>
      <c r="C19" s="171">
        <v>27.4</v>
      </c>
      <c r="D19" s="172"/>
      <c r="E19" s="78"/>
      <c r="F19" s="79"/>
      <c r="G19" s="76"/>
      <c r="H19" s="79"/>
      <c r="I19" s="76"/>
      <c r="J19" s="79"/>
      <c r="K19" s="76"/>
      <c r="L19" s="79"/>
      <c r="M19" s="76"/>
      <c r="N19" s="76">
        <f t="shared" si="1"/>
        <v>0</v>
      </c>
      <c r="O19" s="76">
        <f t="shared" si="0"/>
        <v>-27.4</v>
      </c>
      <c r="P19" s="78">
        <f t="shared" si="2"/>
        <v>7</v>
      </c>
      <c r="Q19" s="80">
        <f t="shared" si="3"/>
        <v>14</v>
      </c>
      <c r="R19" s="78">
        <f t="shared" si="4"/>
        <v>28</v>
      </c>
      <c r="S19" s="78"/>
      <c r="T19" s="80"/>
      <c r="U19" s="78"/>
    </row>
    <row r="20" spans="1:21" x14ac:dyDescent="0.25">
      <c r="A20" s="181"/>
      <c r="B20" s="4">
        <v>16</v>
      </c>
      <c r="C20" s="171">
        <v>27.4</v>
      </c>
      <c r="D20" s="172"/>
      <c r="E20" s="78"/>
      <c r="F20" s="79"/>
      <c r="G20" s="76"/>
      <c r="H20" s="79"/>
      <c r="I20" s="76"/>
      <c r="J20" s="79"/>
      <c r="K20" s="76"/>
      <c r="L20" s="79"/>
      <c r="M20" s="76"/>
      <c r="N20" s="76">
        <f t="shared" si="1"/>
        <v>0</v>
      </c>
      <c r="O20" s="76">
        <f t="shared" si="0"/>
        <v>-27.4</v>
      </c>
      <c r="P20" s="78">
        <f t="shared" si="2"/>
        <v>7</v>
      </c>
      <c r="Q20" s="80">
        <f t="shared" si="3"/>
        <v>14</v>
      </c>
      <c r="R20" s="78">
        <f t="shared" si="4"/>
        <v>28</v>
      </c>
      <c r="S20" s="78"/>
      <c r="T20" s="80"/>
      <c r="U20" s="78"/>
    </row>
    <row r="21" spans="1:21" x14ac:dyDescent="0.25">
      <c r="A21" s="181"/>
      <c r="B21" s="4">
        <v>17</v>
      </c>
      <c r="C21" s="171">
        <v>27.4</v>
      </c>
      <c r="D21" s="172"/>
      <c r="E21" s="78">
        <v>46251</v>
      </c>
      <c r="F21" s="79"/>
      <c r="G21" s="76"/>
      <c r="H21" s="79"/>
      <c r="I21" s="76"/>
      <c r="J21" s="79"/>
      <c r="K21" s="76"/>
      <c r="L21" s="79"/>
      <c r="M21" s="76"/>
      <c r="N21" s="76">
        <f t="shared" si="1"/>
        <v>0</v>
      </c>
      <c r="O21" s="76">
        <f t="shared" si="0"/>
        <v>-27.4</v>
      </c>
      <c r="P21" s="78">
        <f t="shared" si="2"/>
        <v>46258</v>
      </c>
      <c r="Q21" s="80">
        <f t="shared" si="3"/>
        <v>46265</v>
      </c>
      <c r="R21" s="78">
        <f t="shared" si="4"/>
        <v>46279</v>
      </c>
      <c r="S21" s="78"/>
      <c r="T21" s="80"/>
      <c r="U21" s="78"/>
    </row>
    <row r="22" spans="1:21" x14ac:dyDescent="0.25">
      <c r="A22" s="181"/>
      <c r="B22" s="4">
        <v>18</v>
      </c>
      <c r="C22" s="171">
        <v>27.4</v>
      </c>
      <c r="D22" s="172"/>
      <c r="E22" s="78"/>
      <c r="F22" s="79"/>
      <c r="G22" s="76"/>
      <c r="H22" s="79"/>
      <c r="I22" s="76"/>
      <c r="J22" s="79"/>
      <c r="K22" s="76"/>
      <c r="L22" s="79"/>
      <c r="M22" s="76"/>
      <c r="N22" s="76">
        <f t="shared" si="1"/>
        <v>0</v>
      </c>
      <c r="O22" s="76">
        <f t="shared" si="0"/>
        <v>-27.4</v>
      </c>
      <c r="P22" s="78">
        <f t="shared" si="2"/>
        <v>7</v>
      </c>
      <c r="Q22" s="80">
        <f t="shared" si="3"/>
        <v>14</v>
      </c>
      <c r="R22" s="78">
        <f t="shared" si="4"/>
        <v>28</v>
      </c>
      <c r="S22" s="78"/>
      <c r="T22" s="80"/>
      <c r="U22" s="78"/>
    </row>
    <row r="23" spans="1:21" x14ac:dyDescent="0.25">
      <c r="A23" s="181"/>
      <c r="B23" s="4">
        <v>19</v>
      </c>
      <c r="C23" s="171">
        <v>27.4</v>
      </c>
      <c r="D23" s="172"/>
      <c r="E23" s="78">
        <v>46250</v>
      </c>
      <c r="F23" s="79"/>
      <c r="G23" s="76"/>
      <c r="H23" s="79"/>
      <c r="I23" s="76"/>
      <c r="J23" s="79"/>
      <c r="K23" s="76"/>
      <c r="L23" s="79"/>
      <c r="M23" s="76"/>
      <c r="N23" s="76">
        <f t="shared" si="1"/>
        <v>0</v>
      </c>
      <c r="O23" s="76">
        <f t="shared" si="0"/>
        <v>-27.4</v>
      </c>
      <c r="P23" s="78">
        <f t="shared" si="2"/>
        <v>46257</v>
      </c>
      <c r="Q23" s="80">
        <f t="shared" si="3"/>
        <v>46264</v>
      </c>
      <c r="R23" s="78">
        <f t="shared" si="4"/>
        <v>46278</v>
      </c>
      <c r="S23" s="78"/>
      <c r="T23" s="80"/>
      <c r="U23" s="78"/>
    </row>
    <row r="24" spans="1:21" x14ac:dyDescent="0.25">
      <c r="A24" s="181"/>
      <c r="B24" s="4">
        <v>20</v>
      </c>
      <c r="C24" s="171">
        <v>27.4</v>
      </c>
      <c r="D24" s="172"/>
      <c r="E24" s="78"/>
      <c r="F24" s="79"/>
      <c r="G24" s="76"/>
      <c r="H24" s="79"/>
      <c r="I24" s="76"/>
      <c r="J24" s="79"/>
      <c r="K24" s="76"/>
      <c r="L24" s="79"/>
      <c r="M24" s="76"/>
      <c r="N24" s="76">
        <f t="shared" si="1"/>
        <v>0</v>
      </c>
      <c r="O24" s="76">
        <f t="shared" si="0"/>
        <v>-27.4</v>
      </c>
      <c r="P24" s="78">
        <f t="shared" si="2"/>
        <v>7</v>
      </c>
      <c r="Q24" s="80">
        <f t="shared" si="3"/>
        <v>14</v>
      </c>
      <c r="R24" s="78">
        <f t="shared" si="4"/>
        <v>28</v>
      </c>
      <c r="S24" s="78"/>
      <c r="T24" s="80"/>
      <c r="U24" s="78"/>
    </row>
    <row r="25" spans="1:21" x14ac:dyDescent="0.25">
      <c r="A25" s="181"/>
      <c r="B25" s="4">
        <v>21</v>
      </c>
      <c r="C25" s="171">
        <v>27.4</v>
      </c>
      <c r="D25" s="172"/>
      <c r="E25" s="78">
        <v>46249</v>
      </c>
      <c r="F25" s="79"/>
      <c r="G25" s="76"/>
      <c r="H25" s="79"/>
      <c r="I25" s="76"/>
      <c r="J25" s="79"/>
      <c r="K25" s="76"/>
      <c r="L25" s="79"/>
      <c r="M25" s="76"/>
      <c r="N25" s="76">
        <f t="shared" si="1"/>
        <v>0</v>
      </c>
      <c r="O25" s="76">
        <f t="shared" si="0"/>
        <v>-27.4</v>
      </c>
      <c r="P25" s="78">
        <f t="shared" si="2"/>
        <v>46256</v>
      </c>
      <c r="Q25" s="80">
        <f t="shared" si="3"/>
        <v>46263</v>
      </c>
      <c r="R25" s="78">
        <f t="shared" si="4"/>
        <v>46277</v>
      </c>
      <c r="S25" s="78"/>
      <c r="T25" s="80"/>
      <c r="U25" s="78"/>
    </row>
    <row r="26" spans="1:21" x14ac:dyDescent="0.25">
      <c r="A26" s="181"/>
      <c r="B26" s="4">
        <v>22</v>
      </c>
      <c r="C26" s="171">
        <v>27.4</v>
      </c>
      <c r="D26" s="172"/>
      <c r="E26" s="78"/>
      <c r="F26" s="79"/>
      <c r="G26" s="76"/>
      <c r="H26" s="79"/>
      <c r="I26" s="76"/>
      <c r="J26" s="79"/>
      <c r="K26" s="76"/>
      <c r="L26" s="79"/>
      <c r="M26" s="76"/>
      <c r="N26" s="76">
        <f t="shared" si="1"/>
        <v>0</v>
      </c>
      <c r="O26" s="76">
        <f t="shared" si="0"/>
        <v>-27.4</v>
      </c>
      <c r="P26" s="78">
        <f t="shared" si="2"/>
        <v>7</v>
      </c>
      <c r="Q26" s="80">
        <f t="shared" si="3"/>
        <v>14</v>
      </c>
      <c r="R26" s="78">
        <f t="shared" si="4"/>
        <v>28</v>
      </c>
      <c r="S26" s="78"/>
      <c r="T26" s="80"/>
      <c r="U26" s="78"/>
    </row>
    <row r="27" spans="1:21" x14ac:dyDescent="0.25">
      <c r="A27" s="181"/>
      <c r="B27" s="4">
        <v>23</v>
      </c>
      <c r="C27" s="171">
        <v>27.4</v>
      </c>
      <c r="D27" s="172"/>
      <c r="E27" s="78">
        <v>46252</v>
      </c>
      <c r="F27" s="79"/>
      <c r="G27" s="76"/>
      <c r="H27" s="79"/>
      <c r="I27" s="76"/>
      <c r="J27" s="79"/>
      <c r="K27" s="76"/>
      <c r="L27" s="79"/>
      <c r="M27" s="76"/>
      <c r="N27" s="76">
        <f t="shared" si="1"/>
        <v>0</v>
      </c>
      <c r="O27" s="76">
        <f t="shared" si="0"/>
        <v>-27.4</v>
      </c>
      <c r="P27" s="78">
        <f t="shared" si="2"/>
        <v>46259</v>
      </c>
      <c r="Q27" s="80">
        <f t="shared" si="3"/>
        <v>46266</v>
      </c>
      <c r="R27" s="78">
        <f t="shared" si="4"/>
        <v>46280</v>
      </c>
      <c r="S27" s="78"/>
      <c r="T27" s="80"/>
      <c r="U27" s="78"/>
    </row>
    <row r="28" spans="1:21" x14ac:dyDescent="0.25">
      <c r="A28" s="182"/>
      <c r="B28" s="4">
        <v>24</v>
      </c>
      <c r="C28" s="171">
        <v>27.4</v>
      </c>
      <c r="D28" s="172"/>
      <c r="E28" s="78"/>
      <c r="F28" s="79"/>
      <c r="G28" s="76"/>
      <c r="H28" s="79"/>
      <c r="I28" s="76"/>
      <c r="J28" s="79"/>
      <c r="K28" s="76"/>
      <c r="L28" s="79"/>
      <c r="M28" s="76"/>
      <c r="N28" s="76">
        <f t="shared" si="1"/>
        <v>0</v>
      </c>
      <c r="O28" s="76">
        <f t="shared" si="0"/>
        <v>-27.4</v>
      </c>
      <c r="P28" s="78">
        <f t="shared" si="2"/>
        <v>7</v>
      </c>
      <c r="Q28" s="80">
        <f t="shared" si="3"/>
        <v>14</v>
      </c>
      <c r="R28" s="78">
        <f t="shared" si="4"/>
        <v>28</v>
      </c>
      <c r="S28" s="78"/>
      <c r="T28" s="80"/>
      <c r="U28" s="78"/>
    </row>
    <row r="29" spans="1:21" x14ac:dyDescent="0.25">
      <c r="A29" s="74" t="s">
        <v>68</v>
      </c>
      <c r="B29" s="77"/>
      <c r="C29" s="171">
        <f>SUM(C5:D28)</f>
        <v>657.59999999999968</v>
      </c>
      <c r="D29" s="172"/>
      <c r="E29" s="174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</row>
  </sheetData>
  <mergeCells count="46">
    <mergeCell ref="H1:H4"/>
    <mergeCell ref="A1:B3"/>
    <mergeCell ref="C1:D4"/>
    <mergeCell ref="E1:E4"/>
    <mergeCell ref="F1:F4"/>
    <mergeCell ref="G1:G4"/>
    <mergeCell ref="T1:T4"/>
    <mergeCell ref="I1:I4"/>
    <mergeCell ref="J1:J4"/>
    <mergeCell ref="K1:K4"/>
    <mergeCell ref="L1:L4"/>
    <mergeCell ref="M1:M4"/>
    <mergeCell ref="N1:N4"/>
    <mergeCell ref="C18:D18"/>
    <mergeCell ref="U1:U4"/>
    <mergeCell ref="A5:A28"/>
    <mergeCell ref="C5:D5"/>
    <mergeCell ref="C6:D6"/>
    <mergeCell ref="C7:D7"/>
    <mergeCell ref="C8:D8"/>
    <mergeCell ref="C9:D9"/>
    <mergeCell ref="C10:D10"/>
    <mergeCell ref="C11:D11"/>
    <mergeCell ref="C12:D12"/>
    <mergeCell ref="O1:O4"/>
    <mergeCell ref="P1:P4"/>
    <mergeCell ref="Q1:Q4"/>
    <mergeCell ref="R1:R4"/>
    <mergeCell ref="S1:S4"/>
    <mergeCell ref="C13:D13"/>
    <mergeCell ref="C14:D14"/>
    <mergeCell ref="C15:D15"/>
    <mergeCell ref="C16:D16"/>
    <mergeCell ref="C17:D17"/>
    <mergeCell ref="E29:U29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D0CB5-29A2-4EDB-9F52-741DF84FFBF5}">
  <dimension ref="A1:U29"/>
  <sheetViews>
    <sheetView zoomScale="40" zoomScaleNormal="40" workbookViewId="0">
      <selection activeCell="D34" sqref="D34"/>
    </sheetView>
  </sheetViews>
  <sheetFormatPr defaultRowHeight="15" x14ac:dyDescent="0.25"/>
  <cols>
    <col min="2" max="3" width="10.7109375" customWidth="1"/>
    <col min="4" max="4" width="11.28515625" customWidth="1"/>
    <col min="5" max="5" width="16.7109375" customWidth="1"/>
    <col min="6" max="15" width="16.85546875" customWidth="1"/>
    <col min="16" max="17" width="17.140625" customWidth="1"/>
    <col min="18" max="18" width="18.140625" customWidth="1"/>
    <col min="19" max="20" width="17.28515625" customWidth="1"/>
    <col min="21" max="21" width="18.7109375" customWidth="1"/>
  </cols>
  <sheetData>
    <row r="1" spans="1:21" ht="15" customHeight="1" x14ac:dyDescent="0.25">
      <c r="A1" s="128" t="s">
        <v>89</v>
      </c>
      <c r="B1" s="128"/>
      <c r="C1" s="174" t="s">
        <v>69</v>
      </c>
      <c r="D1" s="175"/>
      <c r="E1" s="173" t="s">
        <v>67</v>
      </c>
      <c r="F1" s="183" t="s">
        <v>70</v>
      </c>
      <c r="G1" s="187" t="s">
        <v>71</v>
      </c>
      <c r="H1" s="183" t="s">
        <v>70</v>
      </c>
      <c r="I1" s="187" t="s">
        <v>71</v>
      </c>
      <c r="J1" s="183" t="s">
        <v>70</v>
      </c>
      <c r="K1" s="187" t="s">
        <v>71</v>
      </c>
      <c r="L1" s="183" t="s">
        <v>70</v>
      </c>
      <c r="M1" s="187" t="s">
        <v>71</v>
      </c>
      <c r="N1" s="183" t="s">
        <v>68</v>
      </c>
      <c r="O1" s="183" t="s">
        <v>74</v>
      </c>
      <c r="P1" s="170" t="s">
        <v>72</v>
      </c>
      <c r="Q1" s="170" t="s">
        <v>78</v>
      </c>
      <c r="R1" s="170" t="s">
        <v>73</v>
      </c>
      <c r="S1" s="170" t="s">
        <v>76</v>
      </c>
      <c r="T1" s="170" t="s">
        <v>79</v>
      </c>
      <c r="U1" s="170" t="s">
        <v>77</v>
      </c>
    </row>
    <row r="2" spans="1:21" x14ac:dyDescent="0.25">
      <c r="A2" s="128"/>
      <c r="B2" s="128"/>
      <c r="C2" s="176"/>
      <c r="D2" s="177"/>
      <c r="E2" s="173"/>
      <c r="F2" s="184"/>
      <c r="G2" s="188"/>
      <c r="H2" s="184"/>
      <c r="I2" s="188"/>
      <c r="J2" s="184"/>
      <c r="K2" s="188"/>
      <c r="L2" s="184"/>
      <c r="M2" s="188"/>
      <c r="N2" s="184"/>
      <c r="O2" s="184"/>
      <c r="P2" s="170"/>
      <c r="Q2" s="170"/>
      <c r="R2" s="170"/>
      <c r="S2" s="170"/>
      <c r="T2" s="170"/>
      <c r="U2" s="170"/>
    </row>
    <row r="3" spans="1:21" ht="15" customHeight="1" x14ac:dyDescent="0.25">
      <c r="A3" s="128"/>
      <c r="B3" s="128"/>
      <c r="C3" s="176"/>
      <c r="D3" s="177"/>
      <c r="E3" s="173"/>
      <c r="F3" s="184"/>
      <c r="G3" s="188"/>
      <c r="H3" s="184"/>
      <c r="I3" s="188"/>
      <c r="J3" s="184"/>
      <c r="K3" s="188"/>
      <c r="L3" s="184"/>
      <c r="M3" s="188"/>
      <c r="N3" s="184"/>
      <c r="O3" s="184"/>
      <c r="P3" s="170"/>
      <c r="Q3" s="170"/>
      <c r="R3" s="170"/>
      <c r="S3" s="170"/>
      <c r="T3" s="170"/>
      <c r="U3" s="170"/>
    </row>
    <row r="4" spans="1:21" x14ac:dyDescent="0.25">
      <c r="A4" s="2" t="s">
        <v>0</v>
      </c>
      <c r="B4" s="75" t="s">
        <v>88</v>
      </c>
      <c r="C4" s="178"/>
      <c r="D4" s="179"/>
      <c r="E4" s="173"/>
      <c r="F4" s="185"/>
      <c r="G4" s="189"/>
      <c r="H4" s="185"/>
      <c r="I4" s="189"/>
      <c r="J4" s="185"/>
      <c r="K4" s="189"/>
      <c r="L4" s="185"/>
      <c r="M4" s="189"/>
      <c r="N4" s="185"/>
      <c r="O4" s="185"/>
      <c r="P4" s="170"/>
      <c r="Q4" s="170"/>
      <c r="R4" s="170"/>
      <c r="S4" s="170"/>
      <c r="T4" s="170"/>
      <c r="U4" s="170"/>
    </row>
    <row r="5" spans="1:21" x14ac:dyDescent="0.25">
      <c r="A5" s="180" t="s">
        <v>6</v>
      </c>
      <c r="B5" s="4">
        <v>1</v>
      </c>
      <c r="C5" s="171">
        <v>26.27</v>
      </c>
      <c r="D5" s="172"/>
      <c r="E5" s="78"/>
      <c r="F5" s="76"/>
      <c r="G5" s="76"/>
      <c r="H5" s="76"/>
      <c r="I5" s="76"/>
      <c r="J5" s="76"/>
      <c r="K5" s="76"/>
      <c r="L5" s="76"/>
      <c r="M5" s="76"/>
      <c r="N5" s="76">
        <f>G5+I5+K5+M5</f>
        <v>0</v>
      </c>
      <c r="O5" s="76">
        <f t="shared" ref="O5:O28" si="0">N5-C5</f>
        <v>-26.27</v>
      </c>
      <c r="P5" s="81">
        <f>E5+7</f>
        <v>7</v>
      </c>
      <c r="Q5" s="81">
        <f>E5+14</f>
        <v>14</v>
      </c>
      <c r="R5" s="81">
        <f>E5+28</f>
        <v>28</v>
      </c>
      <c r="S5" s="81"/>
      <c r="T5" s="81"/>
      <c r="U5" s="78"/>
    </row>
    <row r="6" spans="1:21" x14ac:dyDescent="0.25">
      <c r="A6" s="181"/>
      <c r="B6" s="4">
        <v>2</v>
      </c>
      <c r="C6" s="171">
        <v>26.27</v>
      </c>
      <c r="D6" s="172"/>
      <c r="E6" s="78"/>
      <c r="F6" s="76"/>
      <c r="G6" s="76"/>
      <c r="H6" s="76"/>
      <c r="I6" s="76"/>
      <c r="J6" s="76"/>
      <c r="K6" s="76"/>
      <c r="L6" s="76"/>
      <c r="M6" s="76"/>
      <c r="N6" s="76">
        <f t="shared" ref="N6:N28" si="1">G6+I6+K6+M6</f>
        <v>0</v>
      </c>
      <c r="O6" s="76">
        <f t="shared" si="0"/>
        <v>-26.27</v>
      </c>
      <c r="P6" s="81">
        <f t="shared" ref="P6:P28" si="2">E6+7</f>
        <v>7</v>
      </c>
      <c r="Q6" s="81">
        <f t="shared" ref="Q6:Q28" si="3">E6+14</f>
        <v>14</v>
      </c>
      <c r="R6" s="81">
        <f t="shared" ref="R6:R28" si="4">E6+28</f>
        <v>28</v>
      </c>
      <c r="S6" s="81"/>
      <c r="T6" s="81"/>
      <c r="U6" s="78"/>
    </row>
    <row r="7" spans="1:21" x14ac:dyDescent="0.25">
      <c r="A7" s="181"/>
      <c r="B7" s="4">
        <v>3</v>
      </c>
      <c r="C7" s="171">
        <v>26.27</v>
      </c>
      <c r="D7" s="172"/>
      <c r="E7" s="78"/>
      <c r="F7" s="76"/>
      <c r="G7" s="76"/>
      <c r="H7" s="76"/>
      <c r="I7" s="76"/>
      <c r="J7" s="76"/>
      <c r="K7" s="76"/>
      <c r="L7" s="76"/>
      <c r="M7" s="76"/>
      <c r="N7" s="76">
        <f t="shared" si="1"/>
        <v>0</v>
      </c>
      <c r="O7" s="76">
        <f t="shared" si="0"/>
        <v>-26.27</v>
      </c>
      <c r="P7" s="81">
        <f t="shared" si="2"/>
        <v>7</v>
      </c>
      <c r="Q7" s="81">
        <f t="shared" si="3"/>
        <v>14</v>
      </c>
      <c r="R7" s="81">
        <f t="shared" si="4"/>
        <v>28</v>
      </c>
      <c r="S7" s="81"/>
      <c r="T7" s="81"/>
      <c r="U7" s="78" t="s">
        <v>75</v>
      </c>
    </row>
    <row r="8" spans="1:21" x14ac:dyDescent="0.25">
      <c r="A8" s="181"/>
      <c r="B8" s="4">
        <v>4</v>
      </c>
      <c r="C8" s="171">
        <v>26.27</v>
      </c>
      <c r="D8" s="172"/>
      <c r="E8" s="78"/>
      <c r="F8" s="76"/>
      <c r="G8" s="76"/>
      <c r="H8" s="76"/>
      <c r="I8" s="76"/>
      <c r="J8" s="76"/>
      <c r="K8" s="76"/>
      <c r="L8" s="76"/>
      <c r="M8" s="76"/>
      <c r="N8" s="76">
        <f t="shared" si="1"/>
        <v>0</v>
      </c>
      <c r="O8" s="76">
        <f t="shared" si="0"/>
        <v>-26.27</v>
      </c>
      <c r="P8" s="81">
        <f t="shared" si="2"/>
        <v>7</v>
      </c>
      <c r="Q8" s="81">
        <f t="shared" si="3"/>
        <v>14</v>
      </c>
      <c r="R8" s="81">
        <f t="shared" si="4"/>
        <v>28</v>
      </c>
      <c r="S8" s="81"/>
      <c r="T8" s="81"/>
      <c r="U8" s="78"/>
    </row>
    <row r="9" spans="1:21" x14ac:dyDescent="0.25">
      <c r="A9" s="181"/>
      <c r="B9" s="4">
        <v>5</v>
      </c>
      <c r="C9" s="171">
        <v>26.27</v>
      </c>
      <c r="D9" s="172"/>
      <c r="E9" s="78"/>
      <c r="F9" s="76"/>
      <c r="G9" s="76"/>
      <c r="H9" s="76"/>
      <c r="I9" s="76"/>
      <c r="J9" s="76"/>
      <c r="K9" s="76"/>
      <c r="L9" s="76"/>
      <c r="M9" s="76"/>
      <c r="N9" s="76">
        <f t="shared" si="1"/>
        <v>0</v>
      </c>
      <c r="O9" s="76">
        <f t="shared" si="0"/>
        <v>-26.27</v>
      </c>
      <c r="P9" s="81">
        <f t="shared" si="2"/>
        <v>7</v>
      </c>
      <c r="Q9" s="81">
        <f t="shared" si="3"/>
        <v>14</v>
      </c>
      <c r="R9" s="81">
        <f t="shared" si="4"/>
        <v>28</v>
      </c>
      <c r="S9" s="81"/>
      <c r="T9" s="81"/>
      <c r="U9" s="78"/>
    </row>
    <row r="10" spans="1:21" x14ac:dyDescent="0.25">
      <c r="A10" s="181"/>
      <c r="B10" s="4">
        <v>6</v>
      </c>
      <c r="C10" s="171">
        <v>26.27</v>
      </c>
      <c r="D10" s="172"/>
      <c r="E10" s="78"/>
      <c r="F10" s="76"/>
      <c r="G10" s="76"/>
      <c r="H10" s="76"/>
      <c r="I10" s="76"/>
      <c r="J10" s="76"/>
      <c r="K10" s="76"/>
      <c r="L10" s="76"/>
      <c r="M10" s="76"/>
      <c r="N10" s="76">
        <f t="shared" si="1"/>
        <v>0</v>
      </c>
      <c r="O10" s="76">
        <f t="shared" si="0"/>
        <v>-26.27</v>
      </c>
      <c r="P10" s="81">
        <f t="shared" si="2"/>
        <v>7</v>
      </c>
      <c r="Q10" s="81">
        <f t="shared" si="3"/>
        <v>14</v>
      </c>
      <c r="R10" s="81">
        <f t="shared" si="4"/>
        <v>28</v>
      </c>
      <c r="S10" s="81"/>
      <c r="T10" s="81"/>
      <c r="U10" s="78"/>
    </row>
    <row r="11" spans="1:21" x14ac:dyDescent="0.25">
      <c r="A11" s="181"/>
      <c r="B11" s="4">
        <v>7</v>
      </c>
      <c r="C11" s="171">
        <v>26.27</v>
      </c>
      <c r="D11" s="172"/>
      <c r="E11" s="78"/>
      <c r="F11" s="79"/>
      <c r="G11" s="76"/>
      <c r="H11" s="79"/>
      <c r="I11" s="76"/>
      <c r="J11" s="79"/>
      <c r="K11" s="76"/>
      <c r="L11" s="76"/>
      <c r="M11" s="76"/>
      <c r="N11" s="76">
        <f t="shared" si="1"/>
        <v>0</v>
      </c>
      <c r="O11" s="76">
        <f t="shared" si="0"/>
        <v>-26.27</v>
      </c>
      <c r="P11" s="81">
        <f t="shared" si="2"/>
        <v>7</v>
      </c>
      <c r="Q11" s="81">
        <f t="shared" si="3"/>
        <v>14</v>
      </c>
      <c r="R11" s="81">
        <f t="shared" si="4"/>
        <v>28</v>
      </c>
      <c r="S11" s="81"/>
      <c r="T11" s="81"/>
      <c r="U11" s="78"/>
    </row>
    <row r="12" spans="1:21" x14ac:dyDescent="0.25">
      <c r="A12" s="181"/>
      <c r="B12" s="4">
        <v>8</v>
      </c>
      <c r="C12" s="171">
        <v>26.27</v>
      </c>
      <c r="D12" s="172"/>
      <c r="E12" s="76"/>
      <c r="F12" s="76"/>
      <c r="G12" s="76"/>
      <c r="H12" s="76"/>
      <c r="I12" s="76"/>
      <c r="J12" s="76"/>
      <c r="K12" s="76"/>
      <c r="L12" s="76"/>
      <c r="M12" s="76"/>
      <c r="N12" s="76">
        <f t="shared" si="1"/>
        <v>0</v>
      </c>
      <c r="O12" s="76">
        <f t="shared" si="0"/>
        <v>-26.27</v>
      </c>
      <c r="P12" s="81">
        <f t="shared" si="2"/>
        <v>7</v>
      </c>
      <c r="Q12" s="81">
        <f t="shared" si="3"/>
        <v>14</v>
      </c>
      <c r="R12" s="81">
        <f t="shared" si="4"/>
        <v>28</v>
      </c>
      <c r="S12" s="81"/>
      <c r="T12" s="81"/>
      <c r="U12" s="78"/>
    </row>
    <row r="13" spans="1:21" x14ac:dyDescent="0.25">
      <c r="A13" s="181"/>
      <c r="B13" s="4">
        <v>9</v>
      </c>
      <c r="C13" s="171">
        <v>26.27</v>
      </c>
      <c r="D13" s="172"/>
      <c r="E13" s="78"/>
      <c r="F13" s="76"/>
      <c r="G13" s="76"/>
      <c r="H13" s="76"/>
      <c r="I13" s="76"/>
      <c r="J13" s="76"/>
      <c r="K13" s="76"/>
      <c r="L13" s="76"/>
      <c r="M13" s="76"/>
      <c r="N13" s="76">
        <f t="shared" si="1"/>
        <v>0</v>
      </c>
      <c r="O13" s="76">
        <f t="shared" si="0"/>
        <v>-26.27</v>
      </c>
      <c r="P13" s="81">
        <f t="shared" si="2"/>
        <v>7</v>
      </c>
      <c r="Q13" s="81">
        <f t="shared" si="3"/>
        <v>14</v>
      </c>
      <c r="R13" s="81">
        <f t="shared" si="4"/>
        <v>28</v>
      </c>
      <c r="S13" s="81"/>
      <c r="T13" s="81"/>
      <c r="U13" s="78"/>
    </row>
    <row r="14" spans="1:21" x14ac:dyDescent="0.25">
      <c r="A14" s="181"/>
      <c r="B14" s="4">
        <v>10</v>
      </c>
      <c r="C14" s="171">
        <v>26.27</v>
      </c>
      <c r="D14" s="172"/>
      <c r="E14" s="78"/>
      <c r="F14" s="76"/>
      <c r="G14" s="76"/>
      <c r="H14" s="76"/>
      <c r="I14" s="76"/>
      <c r="J14" s="76"/>
      <c r="K14" s="76"/>
      <c r="L14" s="76"/>
      <c r="M14" s="76"/>
      <c r="N14" s="76">
        <f t="shared" si="1"/>
        <v>0</v>
      </c>
      <c r="O14" s="76">
        <f t="shared" si="0"/>
        <v>-26.27</v>
      </c>
      <c r="P14" s="81">
        <f t="shared" si="2"/>
        <v>7</v>
      </c>
      <c r="Q14" s="81">
        <f t="shared" si="3"/>
        <v>14</v>
      </c>
      <c r="R14" s="81">
        <f t="shared" si="4"/>
        <v>28</v>
      </c>
      <c r="S14" s="81"/>
      <c r="T14" s="81"/>
      <c r="U14" s="78"/>
    </row>
    <row r="15" spans="1:21" x14ac:dyDescent="0.25">
      <c r="A15" s="181"/>
      <c r="B15" s="4">
        <v>11</v>
      </c>
      <c r="C15" s="171">
        <v>26.27</v>
      </c>
      <c r="D15" s="172"/>
      <c r="E15" s="78"/>
      <c r="F15" s="79"/>
      <c r="G15" s="76"/>
      <c r="H15" s="79"/>
      <c r="I15" s="76"/>
      <c r="J15" s="79"/>
      <c r="K15" s="76"/>
      <c r="L15" s="76"/>
      <c r="M15" s="76"/>
      <c r="N15" s="76">
        <f t="shared" si="1"/>
        <v>0</v>
      </c>
      <c r="O15" s="76">
        <f t="shared" si="0"/>
        <v>-26.27</v>
      </c>
      <c r="P15" s="81">
        <f t="shared" si="2"/>
        <v>7</v>
      </c>
      <c r="Q15" s="81">
        <f t="shared" si="3"/>
        <v>14</v>
      </c>
      <c r="R15" s="81">
        <f t="shared" si="4"/>
        <v>28</v>
      </c>
      <c r="S15" s="81"/>
      <c r="T15" s="81"/>
      <c r="U15" s="78"/>
    </row>
    <row r="16" spans="1:21" x14ac:dyDescent="0.25">
      <c r="A16" s="181"/>
      <c r="B16" s="4">
        <v>12</v>
      </c>
      <c r="C16" s="171">
        <v>26.27</v>
      </c>
      <c r="D16" s="172"/>
      <c r="E16" s="78"/>
      <c r="F16" s="79"/>
      <c r="G16" s="76"/>
      <c r="H16" s="76"/>
      <c r="I16" s="76"/>
      <c r="J16" s="76"/>
      <c r="K16" s="76"/>
      <c r="L16" s="76"/>
      <c r="M16" s="76"/>
      <c r="N16" s="76">
        <f t="shared" si="1"/>
        <v>0</v>
      </c>
      <c r="O16" s="76">
        <f t="shared" si="0"/>
        <v>-26.27</v>
      </c>
      <c r="P16" s="81">
        <f t="shared" si="2"/>
        <v>7</v>
      </c>
      <c r="Q16" s="81">
        <f t="shared" si="3"/>
        <v>14</v>
      </c>
      <c r="R16" s="81">
        <f t="shared" si="4"/>
        <v>28</v>
      </c>
      <c r="S16" s="81"/>
      <c r="T16" s="81"/>
      <c r="U16" s="78"/>
    </row>
    <row r="17" spans="1:21" x14ac:dyDescent="0.25">
      <c r="A17" s="181"/>
      <c r="B17" s="4">
        <v>13</v>
      </c>
      <c r="C17" s="171">
        <v>26.27</v>
      </c>
      <c r="D17" s="172"/>
      <c r="E17" s="78"/>
      <c r="F17" s="76"/>
      <c r="G17" s="76"/>
      <c r="H17" s="76"/>
      <c r="I17" s="76"/>
      <c r="J17" s="76"/>
      <c r="K17" s="76"/>
      <c r="L17" s="76"/>
      <c r="M17" s="76"/>
      <c r="N17" s="76">
        <f t="shared" si="1"/>
        <v>0</v>
      </c>
      <c r="O17" s="76">
        <f t="shared" si="0"/>
        <v>-26.27</v>
      </c>
      <c r="P17" s="81">
        <f t="shared" si="2"/>
        <v>7</v>
      </c>
      <c r="Q17" s="81">
        <f t="shared" si="3"/>
        <v>14</v>
      </c>
      <c r="R17" s="81">
        <f t="shared" si="4"/>
        <v>28</v>
      </c>
      <c r="S17" s="78"/>
      <c r="T17" s="80"/>
      <c r="U17" s="78"/>
    </row>
    <row r="18" spans="1:21" x14ac:dyDescent="0.25">
      <c r="A18" s="181"/>
      <c r="B18" s="4">
        <v>14</v>
      </c>
      <c r="C18" s="171">
        <v>26.27</v>
      </c>
      <c r="D18" s="172"/>
      <c r="E18" s="78"/>
      <c r="F18" s="79"/>
      <c r="G18" s="76"/>
      <c r="H18" s="79"/>
      <c r="I18" s="76"/>
      <c r="J18" s="79"/>
      <c r="K18" s="76"/>
      <c r="L18" s="79"/>
      <c r="M18" s="76"/>
      <c r="N18" s="76">
        <f t="shared" si="1"/>
        <v>0</v>
      </c>
      <c r="O18" s="76">
        <f t="shared" si="0"/>
        <v>-26.27</v>
      </c>
      <c r="P18" s="81">
        <f t="shared" si="2"/>
        <v>7</v>
      </c>
      <c r="Q18" s="81">
        <f t="shared" si="3"/>
        <v>14</v>
      </c>
      <c r="R18" s="81">
        <f t="shared" si="4"/>
        <v>28</v>
      </c>
      <c r="S18" s="78"/>
      <c r="T18" s="80"/>
      <c r="U18" s="78"/>
    </row>
    <row r="19" spans="1:21" x14ac:dyDescent="0.25">
      <c r="A19" s="181"/>
      <c r="B19" s="4">
        <v>15</v>
      </c>
      <c r="C19" s="171">
        <v>26.27</v>
      </c>
      <c r="D19" s="172"/>
      <c r="E19" s="78"/>
      <c r="F19" s="79"/>
      <c r="G19" s="76"/>
      <c r="H19" s="79"/>
      <c r="I19" s="76"/>
      <c r="J19" s="79"/>
      <c r="K19" s="76"/>
      <c r="L19" s="79"/>
      <c r="M19" s="76"/>
      <c r="N19" s="76">
        <f t="shared" si="1"/>
        <v>0</v>
      </c>
      <c r="O19" s="76">
        <f t="shared" si="0"/>
        <v>-26.27</v>
      </c>
      <c r="P19" s="78">
        <f t="shared" si="2"/>
        <v>7</v>
      </c>
      <c r="Q19" s="80">
        <f t="shared" si="3"/>
        <v>14</v>
      </c>
      <c r="R19" s="78">
        <f t="shared" si="4"/>
        <v>28</v>
      </c>
      <c r="S19" s="78"/>
      <c r="T19" s="80"/>
      <c r="U19" s="78"/>
    </row>
    <row r="20" spans="1:21" x14ac:dyDescent="0.25">
      <c r="A20" s="181"/>
      <c r="B20" s="4">
        <v>16</v>
      </c>
      <c r="C20" s="171">
        <v>26.27</v>
      </c>
      <c r="D20" s="172"/>
      <c r="E20" s="78"/>
      <c r="F20" s="79"/>
      <c r="G20" s="76"/>
      <c r="H20" s="79"/>
      <c r="I20" s="76"/>
      <c r="J20" s="79"/>
      <c r="K20" s="76"/>
      <c r="L20" s="79"/>
      <c r="M20" s="76"/>
      <c r="N20" s="76">
        <f t="shared" si="1"/>
        <v>0</v>
      </c>
      <c r="O20" s="76">
        <f t="shared" si="0"/>
        <v>-26.27</v>
      </c>
      <c r="P20" s="78">
        <f t="shared" si="2"/>
        <v>7</v>
      </c>
      <c r="Q20" s="80">
        <f t="shared" si="3"/>
        <v>14</v>
      </c>
      <c r="R20" s="78">
        <f t="shared" si="4"/>
        <v>28</v>
      </c>
      <c r="S20" s="78"/>
      <c r="T20" s="80"/>
      <c r="U20" s="78"/>
    </row>
    <row r="21" spans="1:21" x14ac:dyDescent="0.25">
      <c r="A21" s="181"/>
      <c r="B21" s="4">
        <v>17</v>
      </c>
      <c r="C21" s="171">
        <v>26.27</v>
      </c>
      <c r="D21" s="172"/>
      <c r="E21" s="78"/>
      <c r="F21" s="79"/>
      <c r="G21" s="76"/>
      <c r="H21" s="79"/>
      <c r="I21" s="76"/>
      <c r="J21" s="79"/>
      <c r="K21" s="76"/>
      <c r="L21" s="79"/>
      <c r="M21" s="76"/>
      <c r="N21" s="76">
        <f t="shared" si="1"/>
        <v>0</v>
      </c>
      <c r="O21" s="76">
        <f t="shared" si="0"/>
        <v>-26.27</v>
      </c>
      <c r="P21" s="78">
        <f t="shared" si="2"/>
        <v>7</v>
      </c>
      <c r="Q21" s="80">
        <f t="shared" si="3"/>
        <v>14</v>
      </c>
      <c r="R21" s="78">
        <f t="shared" si="4"/>
        <v>28</v>
      </c>
      <c r="S21" s="78"/>
      <c r="T21" s="80"/>
      <c r="U21" s="78"/>
    </row>
    <row r="22" spans="1:21" x14ac:dyDescent="0.25">
      <c r="A22" s="181"/>
      <c r="B22" s="4">
        <v>18</v>
      </c>
      <c r="C22" s="171">
        <v>26.27</v>
      </c>
      <c r="D22" s="172"/>
      <c r="E22" s="78"/>
      <c r="F22" s="79"/>
      <c r="G22" s="76"/>
      <c r="H22" s="79"/>
      <c r="I22" s="76"/>
      <c r="J22" s="79"/>
      <c r="K22" s="76"/>
      <c r="L22" s="79"/>
      <c r="M22" s="76"/>
      <c r="N22" s="76">
        <f t="shared" si="1"/>
        <v>0</v>
      </c>
      <c r="O22" s="76">
        <f t="shared" si="0"/>
        <v>-26.27</v>
      </c>
      <c r="P22" s="78">
        <f t="shared" si="2"/>
        <v>7</v>
      </c>
      <c r="Q22" s="80">
        <f t="shared" si="3"/>
        <v>14</v>
      </c>
      <c r="R22" s="78">
        <f t="shared" si="4"/>
        <v>28</v>
      </c>
      <c r="S22" s="78"/>
      <c r="T22" s="80"/>
      <c r="U22" s="78"/>
    </row>
    <row r="23" spans="1:21" x14ac:dyDescent="0.25">
      <c r="A23" s="181"/>
      <c r="B23" s="4">
        <v>19</v>
      </c>
      <c r="C23" s="171">
        <v>26.27</v>
      </c>
      <c r="D23" s="172"/>
      <c r="E23" s="78"/>
      <c r="F23" s="79"/>
      <c r="G23" s="76"/>
      <c r="H23" s="79"/>
      <c r="I23" s="76"/>
      <c r="J23" s="79"/>
      <c r="K23" s="76"/>
      <c r="L23" s="79"/>
      <c r="M23" s="76"/>
      <c r="N23" s="76">
        <f t="shared" si="1"/>
        <v>0</v>
      </c>
      <c r="O23" s="76">
        <f t="shared" si="0"/>
        <v>-26.27</v>
      </c>
      <c r="P23" s="78">
        <f t="shared" si="2"/>
        <v>7</v>
      </c>
      <c r="Q23" s="80">
        <f t="shared" si="3"/>
        <v>14</v>
      </c>
      <c r="R23" s="78">
        <f t="shared" si="4"/>
        <v>28</v>
      </c>
      <c r="S23" s="78"/>
      <c r="T23" s="80"/>
      <c r="U23" s="78"/>
    </row>
    <row r="24" spans="1:21" x14ac:dyDescent="0.25">
      <c r="A24" s="181"/>
      <c r="B24" s="4">
        <v>20</v>
      </c>
      <c r="C24" s="171">
        <v>26.27</v>
      </c>
      <c r="D24" s="172"/>
      <c r="E24" s="78"/>
      <c r="F24" s="79"/>
      <c r="G24" s="76"/>
      <c r="H24" s="79"/>
      <c r="I24" s="76"/>
      <c r="J24" s="79"/>
      <c r="K24" s="76"/>
      <c r="L24" s="79"/>
      <c r="M24" s="76"/>
      <c r="N24" s="76">
        <f t="shared" si="1"/>
        <v>0</v>
      </c>
      <c r="O24" s="76">
        <f t="shared" si="0"/>
        <v>-26.27</v>
      </c>
      <c r="P24" s="78">
        <f t="shared" si="2"/>
        <v>7</v>
      </c>
      <c r="Q24" s="80">
        <f t="shared" si="3"/>
        <v>14</v>
      </c>
      <c r="R24" s="78">
        <f t="shared" si="4"/>
        <v>28</v>
      </c>
      <c r="S24" s="78"/>
      <c r="T24" s="80"/>
      <c r="U24" s="78"/>
    </row>
    <row r="25" spans="1:21" x14ac:dyDescent="0.25">
      <c r="A25" s="181"/>
      <c r="B25" s="4">
        <v>21</v>
      </c>
      <c r="C25" s="171">
        <v>26.27</v>
      </c>
      <c r="D25" s="172"/>
      <c r="E25" s="78"/>
      <c r="F25" s="79"/>
      <c r="G25" s="76"/>
      <c r="H25" s="79"/>
      <c r="I25" s="76"/>
      <c r="J25" s="79"/>
      <c r="K25" s="76"/>
      <c r="L25" s="79"/>
      <c r="M25" s="76"/>
      <c r="N25" s="76">
        <f t="shared" si="1"/>
        <v>0</v>
      </c>
      <c r="O25" s="76">
        <f t="shared" si="0"/>
        <v>-26.27</v>
      </c>
      <c r="P25" s="78">
        <f t="shared" si="2"/>
        <v>7</v>
      </c>
      <c r="Q25" s="80">
        <f t="shared" si="3"/>
        <v>14</v>
      </c>
      <c r="R25" s="78">
        <f t="shared" si="4"/>
        <v>28</v>
      </c>
      <c r="S25" s="78"/>
      <c r="T25" s="80"/>
      <c r="U25" s="78"/>
    </row>
    <row r="26" spans="1:21" x14ac:dyDescent="0.25">
      <c r="A26" s="181"/>
      <c r="B26" s="4">
        <v>22</v>
      </c>
      <c r="C26" s="171">
        <v>26.27</v>
      </c>
      <c r="D26" s="172"/>
      <c r="E26" s="78"/>
      <c r="F26" s="79"/>
      <c r="G26" s="76"/>
      <c r="H26" s="79"/>
      <c r="I26" s="76"/>
      <c r="J26" s="79"/>
      <c r="K26" s="76"/>
      <c r="L26" s="79"/>
      <c r="M26" s="76"/>
      <c r="N26" s="76">
        <f t="shared" si="1"/>
        <v>0</v>
      </c>
      <c r="O26" s="76">
        <f t="shared" si="0"/>
        <v>-26.27</v>
      </c>
      <c r="P26" s="78">
        <f t="shared" si="2"/>
        <v>7</v>
      </c>
      <c r="Q26" s="80">
        <f t="shared" si="3"/>
        <v>14</v>
      </c>
      <c r="R26" s="78">
        <f t="shared" si="4"/>
        <v>28</v>
      </c>
      <c r="S26" s="78"/>
      <c r="T26" s="80"/>
      <c r="U26" s="78"/>
    </row>
    <row r="27" spans="1:21" x14ac:dyDescent="0.25">
      <c r="A27" s="181"/>
      <c r="B27" s="4">
        <v>23</v>
      </c>
      <c r="C27" s="171">
        <v>26.27</v>
      </c>
      <c r="D27" s="172"/>
      <c r="E27" s="78"/>
      <c r="F27" s="79"/>
      <c r="G27" s="76"/>
      <c r="H27" s="79"/>
      <c r="I27" s="76"/>
      <c r="J27" s="79"/>
      <c r="K27" s="76"/>
      <c r="L27" s="79"/>
      <c r="M27" s="76"/>
      <c r="N27" s="76">
        <f t="shared" si="1"/>
        <v>0</v>
      </c>
      <c r="O27" s="76">
        <f t="shared" si="0"/>
        <v>-26.27</v>
      </c>
      <c r="P27" s="78">
        <f t="shared" si="2"/>
        <v>7</v>
      </c>
      <c r="Q27" s="80">
        <f t="shared" si="3"/>
        <v>14</v>
      </c>
      <c r="R27" s="78">
        <f t="shared" si="4"/>
        <v>28</v>
      </c>
      <c r="S27" s="78"/>
      <c r="T27" s="80"/>
      <c r="U27" s="78"/>
    </row>
    <row r="28" spans="1:21" x14ac:dyDescent="0.25">
      <c r="A28" s="182"/>
      <c r="B28" s="4">
        <v>24</v>
      </c>
      <c r="C28" s="171">
        <v>26.27</v>
      </c>
      <c r="D28" s="172"/>
      <c r="E28" s="78"/>
      <c r="F28" s="79"/>
      <c r="G28" s="76"/>
      <c r="H28" s="79"/>
      <c r="I28" s="76"/>
      <c r="J28" s="79"/>
      <c r="K28" s="76"/>
      <c r="L28" s="79"/>
      <c r="M28" s="76"/>
      <c r="N28" s="76">
        <f t="shared" si="1"/>
        <v>0</v>
      </c>
      <c r="O28" s="76">
        <f t="shared" si="0"/>
        <v>-26.27</v>
      </c>
      <c r="P28" s="78">
        <f t="shared" si="2"/>
        <v>7</v>
      </c>
      <c r="Q28" s="80">
        <f t="shared" si="3"/>
        <v>14</v>
      </c>
      <c r="R28" s="78">
        <f t="shared" si="4"/>
        <v>28</v>
      </c>
      <c r="S28" s="78"/>
      <c r="T28" s="80"/>
      <c r="U28" s="78"/>
    </row>
    <row r="29" spans="1:21" x14ac:dyDescent="0.25">
      <c r="A29" s="74" t="s">
        <v>68</v>
      </c>
      <c r="B29" s="77"/>
      <c r="C29" s="171">
        <f>SUM(C5:D28)</f>
        <v>630.47999999999979</v>
      </c>
      <c r="D29" s="172"/>
      <c r="E29" s="174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</row>
  </sheetData>
  <mergeCells count="46">
    <mergeCell ref="H1:H4"/>
    <mergeCell ref="A1:B3"/>
    <mergeCell ref="C1:D4"/>
    <mergeCell ref="E1:E4"/>
    <mergeCell ref="F1:F4"/>
    <mergeCell ref="G1:G4"/>
    <mergeCell ref="T1:T4"/>
    <mergeCell ref="I1:I4"/>
    <mergeCell ref="J1:J4"/>
    <mergeCell ref="K1:K4"/>
    <mergeCell ref="L1:L4"/>
    <mergeCell ref="M1:M4"/>
    <mergeCell ref="N1:N4"/>
    <mergeCell ref="C18:D18"/>
    <mergeCell ref="U1:U4"/>
    <mergeCell ref="A5:A28"/>
    <mergeCell ref="C5:D5"/>
    <mergeCell ref="C6:D6"/>
    <mergeCell ref="C7:D7"/>
    <mergeCell ref="C8:D8"/>
    <mergeCell ref="C9:D9"/>
    <mergeCell ref="C10:D10"/>
    <mergeCell ref="C11:D11"/>
    <mergeCell ref="C12:D12"/>
    <mergeCell ref="O1:O4"/>
    <mergeCell ref="P1:P4"/>
    <mergeCell ref="Q1:Q4"/>
    <mergeCell ref="R1:R4"/>
    <mergeCell ref="S1:S4"/>
    <mergeCell ref="C13:D13"/>
    <mergeCell ref="C14:D14"/>
    <mergeCell ref="C15:D15"/>
    <mergeCell ref="C16:D16"/>
    <mergeCell ref="C17:D17"/>
    <mergeCell ref="E29:U29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1E3DC-B7B1-4C6C-82A9-716F8919EA95}">
  <dimension ref="A1:U29"/>
  <sheetViews>
    <sheetView zoomScale="40" zoomScaleNormal="40" workbookViewId="0">
      <selection activeCell="E24" sqref="E24"/>
    </sheetView>
  </sheetViews>
  <sheetFormatPr defaultRowHeight="15" x14ac:dyDescent="0.25"/>
  <cols>
    <col min="2" max="3" width="10.7109375" customWidth="1"/>
    <col min="4" max="4" width="11.28515625" customWidth="1"/>
    <col min="5" max="5" width="16.7109375" customWidth="1"/>
    <col min="6" max="15" width="16.85546875" customWidth="1"/>
    <col min="16" max="17" width="17.140625" customWidth="1"/>
    <col min="18" max="18" width="18.140625" customWidth="1"/>
    <col min="19" max="20" width="17.28515625" customWidth="1"/>
    <col min="21" max="21" width="18.7109375" customWidth="1"/>
  </cols>
  <sheetData>
    <row r="1" spans="1:21" ht="15" customHeight="1" x14ac:dyDescent="0.25">
      <c r="A1" s="128" t="s">
        <v>89</v>
      </c>
      <c r="B1" s="128"/>
      <c r="C1" s="174" t="s">
        <v>69</v>
      </c>
      <c r="D1" s="175"/>
      <c r="E1" s="173" t="s">
        <v>67</v>
      </c>
      <c r="F1" s="183" t="s">
        <v>70</v>
      </c>
      <c r="G1" s="187" t="s">
        <v>71</v>
      </c>
      <c r="H1" s="183" t="s">
        <v>70</v>
      </c>
      <c r="I1" s="187" t="s">
        <v>71</v>
      </c>
      <c r="J1" s="183" t="s">
        <v>70</v>
      </c>
      <c r="K1" s="187" t="s">
        <v>71</v>
      </c>
      <c r="L1" s="183" t="s">
        <v>70</v>
      </c>
      <c r="M1" s="187" t="s">
        <v>71</v>
      </c>
      <c r="N1" s="183" t="s">
        <v>68</v>
      </c>
      <c r="O1" s="183" t="s">
        <v>74</v>
      </c>
      <c r="P1" s="170" t="s">
        <v>72</v>
      </c>
      <c r="Q1" s="170" t="s">
        <v>78</v>
      </c>
      <c r="R1" s="170" t="s">
        <v>73</v>
      </c>
      <c r="S1" s="170" t="s">
        <v>76</v>
      </c>
      <c r="T1" s="170" t="s">
        <v>79</v>
      </c>
      <c r="U1" s="170" t="s">
        <v>77</v>
      </c>
    </row>
    <row r="2" spans="1:21" x14ac:dyDescent="0.25">
      <c r="A2" s="128"/>
      <c r="B2" s="128"/>
      <c r="C2" s="176"/>
      <c r="D2" s="177"/>
      <c r="E2" s="173"/>
      <c r="F2" s="184"/>
      <c r="G2" s="188"/>
      <c r="H2" s="184"/>
      <c r="I2" s="188"/>
      <c r="J2" s="184"/>
      <c r="K2" s="188"/>
      <c r="L2" s="184"/>
      <c r="M2" s="188"/>
      <c r="N2" s="184"/>
      <c r="O2" s="184"/>
      <c r="P2" s="170"/>
      <c r="Q2" s="170"/>
      <c r="R2" s="170"/>
      <c r="S2" s="170"/>
      <c r="T2" s="170"/>
      <c r="U2" s="170"/>
    </row>
    <row r="3" spans="1:21" ht="15" customHeight="1" x14ac:dyDescent="0.25">
      <c r="A3" s="128"/>
      <c r="B3" s="128"/>
      <c r="C3" s="176"/>
      <c r="D3" s="177"/>
      <c r="E3" s="173"/>
      <c r="F3" s="184"/>
      <c r="G3" s="188"/>
      <c r="H3" s="184"/>
      <c r="I3" s="188"/>
      <c r="J3" s="184"/>
      <c r="K3" s="188"/>
      <c r="L3" s="184"/>
      <c r="M3" s="188"/>
      <c r="N3" s="184"/>
      <c r="O3" s="184"/>
      <c r="P3" s="170"/>
      <c r="Q3" s="170"/>
      <c r="R3" s="170"/>
      <c r="S3" s="170"/>
      <c r="T3" s="170"/>
      <c r="U3" s="170"/>
    </row>
    <row r="4" spans="1:21" x14ac:dyDescent="0.25">
      <c r="A4" s="2" t="s">
        <v>0</v>
      </c>
      <c r="B4" s="75" t="s">
        <v>88</v>
      </c>
      <c r="C4" s="178"/>
      <c r="D4" s="179"/>
      <c r="E4" s="173"/>
      <c r="F4" s="185"/>
      <c r="G4" s="189"/>
      <c r="H4" s="185"/>
      <c r="I4" s="189"/>
      <c r="J4" s="185"/>
      <c r="K4" s="189"/>
      <c r="L4" s="185"/>
      <c r="M4" s="189"/>
      <c r="N4" s="185"/>
      <c r="O4" s="185"/>
      <c r="P4" s="170"/>
      <c r="Q4" s="170"/>
      <c r="R4" s="170"/>
      <c r="S4" s="170"/>
      <c r="T4" s="170"/>
      <c r="U4" s="170"/>
    </row>
    <row r="5" spans="1:21" x14ac:dyDescent="0.25">
      <c r="A5" s="180" t="s">
        <v>87</v>
      </c>
      <c r="B5" s="4">
        <v>1</v>
      </c>
      <c r="C5" s="171">
        <v>26.27</v>
      </c>
      <c r="D5" s="172"/>
      <c r="E5" s="78">
        <v>46250</v>
      </c>
      <c r="F5" s="76"/>
      <c r="G5" s="76"/>
      <c r="H5" s="76"/>
      <c r="I5" s="76"/>
      <c r="J5" s="76"/>
      <c r="K5" s="76"/>
      <c r="L5" s="76"/>
      <c r="M5" s="76"/>
      <c r="N5" s="76">
        <f>G5+I5+K5+M5</f>
        <v>0</v>
      </c>
      <c r="O5" s="76">
        <f t="shared" ref="O5:O28" si="0">N5-C5</f>
        <v>-26.27</v>
      </c>
      <c r="P5" s="81">
        <f>E5+7</f>
        <v>46257</v>
      </c>
      <c r="Q5" s="81">
        <f>E5+14</f>
        <v>46264</v>
      </c>
      <c r="R5" s="81">
        <f>E5+28</f>
        <v>46278</v>
      </c>
      <c r="S5" s="81"/>
      <c r="T5" s="81"/>
      <c r="U5" s="78"/>
    </row>
    <row r="6" spans="1:21" x14ac:dyDescent="0.25">
      <c r="A6" s="181"/>
      <c r="B6" s="4">
        <v>2</v>
      </c>
      <c r="C6" s="171">
        <v>26.27</v>
      </c>
      <c r="D6" s="172"/>
      <c r="E6" s="78"/>
      <c r="F6" s="76"/>
      <c r="G6" s="76"/>
      <c r="H6" s="76"/>
      <c r="I6" s="76"/>
      <c r="J6" s="76"/>
      <c r="K6" s="76"/>
      <c r="L6" s="76"/>
      <c r="M6" s="76"/>
      <c r="N6" s="76">
        <f t="shared" ref="N6:N28" si="1">G6+I6+K6+M6</f>
        <v>0</v>
      </c>
      <c r="O6" s="76">
        <f t="shared" si="0"/>
        <v>-26.27</v>
      </c>
      <c r="P6" s="81">
        <f t="shared" ref="P6:P28" si="2">E6+7</f>
        <v>7</v>
      </c>
      <c r="Q6" s="81">
        <f t="shared" ref="Q6:Q28" si="3">E6+14</f>
        <v>14</v>
      </c>
      <c r="R6" s="81">
        <f t="shared" ref="R6:R28" si="4">E6+28</f>
        <v>28</v>
      </c>
      <c r="S6" s="81"/>
      <c r="T6" s="81"/>
      <c r="U6" s="78"/>
    </row>
    <row r="7" spans="1:21" x14ac:dyDescent="0.25">
      <c r="A7" s="181"/>
      <c r="B7" s="4">
        <v>3</v>
      </c>
      <c r="C7" s="171">
        <v>26.27</v>
      </c>
      <c r="D7" s="172"/>
      <c r="E7" s="78">
        <v>46245</v>
      </c>
      <c r="F7" s="114" t="s">
        <v>765</v>
      </c>
      <c r="G7" s="76">
        <v>9</v>
      </c>
      <c r="H7" s="114" t="s">
        <v>766</v>
      </c>
      <c r="I7" s="76">
        <v>9</v>
      </c>
      <c r="J7" s="114" t="s">
        <v>767</v>
      </c>
      <c r="K7" s="76">
        <v>9</v>
      </c>
      <c r="L7" s="76"/>
      <c r="M7" s="76"/>
      <c r="N7" s="76">
        <f t="shared" si="1"/>
        <v>27</v>
      </c>
      <c r="O7" s="76">
        <f t="shared" si="0"/>
        <v>0.73000000000000043</v>
      </c>
      <c r="P7" s="81">
        <f t="shared" si="2"/>
        <v>46252</v>
      </c>
      <c r="Q7" s="81">
        <f t="shared" si="3"/>
        <v>46259</v>
      </c>
      <c r="R7" s="81">
        <f t="shared" si="4"/>
        <v>46273</v>
      </c>
      <c r="S7" s="81"/>
      <c r="T7" s="81"/>
      <c r="U7" s="78" t="s">
        <v>75</v>
      </c>
    </row>
    <row r="8" spans="1:21" x14ac:dyDescent="0.25">
      <c r="A8" s="181"/>
      <c r="B8" s="4">
        <v>4</v>
      </c>
      <c r="C8" s="171">
        <v>26.27</v>
      </c>
      <c r="D8" s="172"/>
      <c r="E8" s="78">
        <v>46247</v>
      </c>
      <c r="F8" s="114" t="s">
        <v>809</v>
      </c>
      <c r="G8" s="76">
        <v>9</v>
      </c>
      <c r="H8" s="114" t="s">
        <v>810</v>
      </c>
      <c r="I8" s="76">
        <v>9</v>
      </c>
      <c r="J8" s="114" t="s">
        <v>811</v>
      </c>
      <c r="K8" s="76">
        <v>9</v>
      </c>
      <c r="L8" s="76"/>
      <c r="M8" s="76"/>
      <c r="N8" s="76">
        <f t="shared" si="1"/>
        <v>27</v>
      </c>
      <c r="O8" s="76">
        <f t="shared" si="0"/>
        <v>0.73000000000000043</v>
      </c>
      <c r="P8" s="81">
        <f t="shared" si="2"/>
        <v>46254</v>
      </c>
      <c r="Q8" s="81">
        <f t="shared" si="3"/>
        <v>46261</v>
      </c>
      <c r="R8" s="81">
        <f t="shared" si="4"/>
        <v>46275</v>
      </c>
      <c r="S8" s="81"/>
      <c r="T8" s="81"/>
      <c r="U8" s="78"/>
    </row>
    <row r="9" spans="1:21" x14ac:dyDescent="0.25">
      <c r="A9" s="181"/>
      <c r="B9" s="4">
        <v>5</v>
      </c>
      <c r="C9" s="171">
        <v>26.27</v>
      </c>
      <c r="D9" s="172"/>
      <c r="E9" s="78">
        <v>46245</v>
      </c>
      <c r="F9" s="114" t="s">
        <v>762</v>
      </c>
      <c r="G9" s="76">
        <v>9</v>
      </c>
      <c r="H9" s="114" t="s">
        <v>763</v>
      </c>
      <c r="I9" s="76">
        <v>9</v>
      </c>
      <c r="J9" s="114" t="s">
        <v>764</v>
      </c>
      <c r="K9" s="76">
        <v>9</v>
      </c>
      <c r="L9" s="76"/>
      <c r="M9" s="76"/>
      <c r="N9" s="76">
        <f t="shared" si="1"/>
        <v>27</v>
      </c>
      <c r="O9" s="76">
        <f t="shared" si="0"/>
        <v>0.73000000000000043</v>
      </c>
      <c r="P9" s="81">
        <f t="shared" si="2"/>
        <v>46252</v>
      </c>
      <c r="Q9" s="81">
        <f t="shared" si="3"/>
        <v>46259</v>
      </c>
      <c r="R9" s="81">
        <f t="shared" si="4"/>
        <v>46273</v>
      </c>
      <c r="S9" s="81"/>
      <c r="T9" s="81"/>
      <c r="U9" s="78"/>
    </row>
    <row r="10" spans="1:21" x14ac:dyDescent="0.25">
      <c r="A10" s="181"/>
      <c r="B10" s="4">
        <v>6</v>
      </c>
      <c r="C10" s="171">
        <v>26.27</v>
      </c>
      <c r="D10" s="172"/>
      <c r="E10" s="78">
        <v>46247</v>
      </c>
      <c r="F10" s="114" t="s">
        <v>806</v>
      </c>
      <c r="G10" s="76">
        <v>9</v>
      </c>
      <c r="H10" s="114" t="s">
        <v>807</v>
      </c>
      <c r="I10" s="76">
        <v>9</v>
      </c>
      <c r="J10" s="114" t="s">
        <v>808</v>
      </c>
      <c r="K10" s="76">
        <v>9</v>
      </c>
      <c r="L10" s="76"/>
      <c r="M10" s="76"/>
      <c r="N10" s="76">
        <f t="shared" si="1"/>
        <v>27</v>
      </c>
      <c r="O10" s="76">
        <f t="shared" si="0"/>
        <v>0.73000000000000043</v>
      </c>
      <c r="P10" s="81">
        <f t="shared" si="2"/>
        <v>46254</v>
      </c>
      <c r="Q10" s="81">
        <f t="shared" si="3"/>
        <v>46261</v>
      </c>
      <c r="R10" s="81">
        <f t="shared" si="4"/>
        <v>46275</v>
      </c>
      <c r="S10" s="81"/>
      <c r="T10" s="81"/>
      <c r="U10" s="78"/>
    </row>
    <row r="11" spans="1:21" x14ac:dyDescent="0.25">
      <c r="A11" s="181"/>
      <c r="B11" s="4">
        <v>7</v>
      </c>
      <c r="C11" s="171">
        <v>26.27</v>
      </c>
      <c r="D11" s="172"/>
      <c r="E11" s="78">
        <v>46245</v>
      </c>
      <c r="F11" s="115" t="s">
        <v>759</v>
      </c>
      <c r="G11" s="76">
        <v>9</v>
      </c>
      <c r="H11" s="115" t="s">
        <v>760</v>
      </c>
      <c r="I11" s="76">
        <v>9</v>
      </c>
      <c r="J11" s="115" t="s">
        <v>761</v>
      </c>
      <c r="K11" s="76">
        <v>9</v>
      </c>
      <c r="L11" s="76"/>
      <c r="M11" s="76"/>
      <c r="N11" s="76">
        <f t="shared" si="1"/>
        <v>27</v>
      </c>
      <c r="O11" s="76">
        <f t="shared" si="0"/>
        <v>0.73000000000000043</v>
      </c>
      <c r="P11" s="81">
        <f t="shared" si="2"/>
        <v>46252</v>
      </c>
      <c r="Q11" s="81">
        <f t="shared" si="3"/>
        <v>46259</v>
      </c>
      <c r="R11" s="81">
        <f t="shared" si="4"/>
        <v>46273</v>
      </c>
      <c r="S11" s="81"/>
      <c r="T11" s="81"/>
      <c r="U11" s="78"/>
    </row>
    <row r="12" spans="1:21" x14ac:dyDescent="0.25">
      <c r="A12" s="181"/>
      <c r="B12" s="4">
        <v>8</v>
      </c>
      <c r="C12" s="171">
        <v>26.27</v>
      </c>
      <c r="D12" s="172"/>
      <c r="E12" s="78">
        <v>46247</v>
      </c>
      <c r="F12" s="114" t="s">
        <v>803</v>
      </c>
      <c r="G12" s="76">
        <v>9</v>
      </c>
      <c r="H12" s="114" t="s">
        <v>804</v>
      </c>
      <c r="I12" s="76">
        <v>9</v>
      </c>
      <c r="J12" s="114" t="s">
        <v>805</v>
      </c>
      <c r="K12" s="76">
        <v>9</v>
      </c>
      <c r="L12" s="76"/>
      <c r="M12" s="76"/>
      <c r="N12" s="76">
        <f t="shared" si="1"/>
        <v>27</v>
      </c>
      <c r="O12" s="76">
        <f t="shared" si="0"/>
        <v>0.73000000000000043</v>
      </c>
      <c r="P12" s="81">
        <f t="shared" si="2"/>
        <v>46254</v>
      </c>
      <c r="Q12" s="81">
        <f t="shared" si="3"/>
        <v>46261</v>
      </c>
      <c r="R12" s="81">
        <f t="shared" si="4"/>
        <v>46275</v>
      </c>
      <c r="S12" s="81"/>
      <c r="T12" s="81"/>
      <c r="U12" s="78"/>
    </row>
    <row r="13" spans="1:21" x14ac:dyDescent="0.25">
      <c r="A13" s="181"/>
      <c r="B13" s="4">
        <v>9</v>
      </c>
      <c r="C13" s="171">
        <v>26.27</v>
      </c>
      <c r="D13" s="172"/>
      <c r="E13" s="78">
        <v>46244</v>
      </c>
      <c r="F13" s="114" t="s">
        <v>756</v>
      </c>
      <c r="G13" s="76">
        <v>9</v>
      </c>
      <c r="H13" s="114" t="s">
        <v>757</v>
      </c>
      <c r="I13" s="76">
        <v>9</v>
      </c>
      <c r="J13" s="114" t="s">
        <v>758</v>
      </c>
      <c r="K13" s="76">
        <v>9</v>
      </c>
      <c r="L13" s="76"/>
      <c r="M13" s="76"/>
      <c r="N13" s="76">
        <f t="shared" si="1"/>
        <v>27</v>
      </c>
      <c r="O13" s="76">
        <f t="shared" si="0"/>
        <v>0.73000000000000043</v>
      </c>
      <c r="P13" s="81">
        <f t="shared" si="2"/>
        <v>46251</v>
      </c>
      <c r="Q13" s="81">
        <f t="shared" si="3"/>
        <v>46258</v>
      </c>
      <c r="R13" s="81">
        <f t="shared" si="4"/>
        <v>46272</v>
      </c>
      <c r="S13" s="81"/>
      <c r="T13" s="81"/>
      <c r="U13" s="78"/>
    </row>
    <row r="14" spans="1:21" x14ac:dyDescent="0.25">
      <c r="A14" s="181"/>
      <c r="B14" s="4">
        <v>10</v>
      </c>
      <c r="C14" s="171">
        <v>26.27</v>
      </c>
      <c r="D14" s="172"/>
      <c r="E14" s="78">
        <v>46250</v>
      </c>
      <c r="F14" s="76"/>
      <c r="G14" s="76"/>
      <c r="H14" s="76"/>
      <c r="I14" s="76"/>
      <c r="J14" s="76"/>
      <c r="K14" s="76"/>
      <c r="L14" s="76"/>
      <c r="M14" s="76"/>
      <c r="N14" s="76">
        <f t="shared" si="1"/>
        <v>0</v>
      </c>
      <c r="O14" s="76">
        <f t="shared" si="0"/>
        <v>-26.27</v>
      </c>
      <c r="P14" s="81">
        <f t="shared" si="2"/>
        <v>46257</v>
      </c>
      <c r="Q14" s="81">
        <f t="shared" si="3"/>
        <v>46264</v>
      </c>
      <c r="R14" s="81">
        <f t="shared" si="4"/>
        <v>46278</v>
      </c>
      <c r="S14" s="81"/>
      <c r="T14" s="81"/>
      <c r="U14" s="78"/>
    </row>
    <row r="15" spans="1:21" x14ac:dyDescent="0.25">
      <c r="A15" s="181"/>
      <c r="B15" s="4">
        <v>11</v>
      </c>
      <c r="C15" s="171">
        <v>26.27</v>
      </c>
      <c r="D15" s="172"/>
      <c r="E15" s="78">
        <v>46244</v>
      </c>
      <c r="F15" s="115" t="s">
        <v>753</v>
      </c>
      <c r="G15" s="76">
        <v>9</v>
      </c>
      <c r="H15" s="115" t="s">
        <v>754</v>
      </c>
      <c r="I15" s="76">
        <v>9</v>
      </c>
      <c r="J15" s="115" t="s">
        <v>755</v>
      </c>
      <c r="K15" s="76">
        <v>9</v>
      </c>
      <c r="L15" s="76"/>
      <c r="M15" s="76"/>
      <c r="N15" s="76">
        <f t="shared" si="1"/>
        <v>27</v>
      </c>
      <c r="O15" s="76">
        <f t="shared" si="0"/>
        <v>0.73000000000000043</v>
      </c>
      <c r="P15" s="81">
        <f t="shared" si="2"/>
        <v>46251</v>
      </c>
      <c r="Q15" s="81">
        <f t="shared" si="3"/>
        <v>46258</v>
      </c>
      <c r="R15" s="81">
        <f t="shared" si="4"/>
        <v>46272</v>
      </c>
      <c r="S15" s="81"/>
      <c r="T15" s="81"/>
      <c r="U15" s="78"/>
    </row>
    <row r="16" spans="1:21" x14ac:dyDescent="0.25">
      <c r="A16" s="181"/>
      <c r="B16" s="4">
        <v>12</v>
      </c>
      <c r="C16" s="171">
        <v>26.27</v>
      </c>
      <c r="D16" s="172"/>
      <c r="E16" s="78">
        <v>46250</v>
      </c>
      <c r="F16" s="79"/>
      <c r="G16" s="76"/>
      <c r="H16" s="76"/>
      <c r="I16" s="76"/>
      <c r="J16" s="76"/>
      <c r="K16" s="76"/>
      <c r="L16" s="76"/>
      <c r="M16" s="76"/>
      <c r="N16" s="76">
        <f t="shared" si="1"/>
        <v>0</v>
      </c>
      <c r="O16" s="76">
        <f t="shared" si="0"/>
        <v>-26.27</v>
      </c>
      <c r="P16" s="81">
        <f t="shared" si="2"/>
        <v>46257</v>
      </c>
      <c r="Q16" s="81">
        <f t="shared" si="3"/>
        <v>46264</v>
      </c>
      <c r="R16" s="81">
        <f t="shared" si="4"/>
        <v>46278</v>
      </c>
      <c r="S16" s="81"/>
      <c r="T16" s="81"/>
      <c r="U16" s="78"/>
    </row>
    <row r="17" spans="1:21" x14ac:dyDescent="0.25">
      <c r="A17" s="181"/>
      <c r="B17" s="4">
        <v>13</v>
      </c>
      <c r="C17" s="171">
        <v>26.27</v>
      </c>
      <c r="D17" s="172"/>
      <c r="E17" s="78">
        <v>46243</v>
      </c>
      <c r="F17" s="114" t="s">
        <v>572</v>
      </c>
      <c r="G17" s="76">
        <v>9</v>
      </c>
      <c r="H17" s="114" t="s">
        <v>573</v>
      </c>
      <c r="I17" s="76">
        <v>9</v>
      </c>
      <c r="J17" s="114" t="s">
        <v>574</v>
      </c>
      <c r="K17" s="76">
        <v>9</v>
      </c>
      <c r="L17" s="76"/>
      <c r="M17" s="76"/>
      <c r="N17" s="76">
        <f t="shared" si="1"/>
        <v>27</v>
      </c>
      <c r="O17" s="76">
        <f t="shared" si="0"/>
        <v>0.73000000000000043</v>
      </c>
      <c r="P17" s="81">
        <f t="shared" si="2"/>
        <v>46250</v>
      </c>
      <c r="Q17" s="81">
        <f t="shared" si="3"/>
        <v>46257</v>
      </c>
      <c r="R17" s="81">
        <f t="shared" si="4"/>
        <v>46271</v>
      </c>
      <c r="S17" s="78"/>
      <c r="T17" s="80"/>
      <c r="U17" s="78"/>
    </row>
    <row r="18" spans="1:21" x14ac:dyDescent="0.25">
      <c r="A18" s="181"/>
      <c r="B18" s="4">
        <v>14</v>
      </c>
      <c r="C18" s="171">
        <v>26.27</v>
      </c>
      <c r="D18" s="172"/>
      <c r="E18" s="78"/>
      <c r="F18" s="79"/>
      <c r="G18" s="76"/>
      <c r="H18" s="79"/>
      <c r="I18" s="76"/>
      <c r="J18" s="79"/>
      <c r="K18" s="76"/>
      <c r="L18" s="79"/>
      <c r="M18" s="76"/>
      <c r="N18" s="76">
        <f t="shared" si="1"/>
        <v>0</v>
      </c>
      <c r="O18" s="76">
        <f t="shared" si="0"/>
        <v>-26.27</v>
      </c>
      <c r="P18" s="81">
        <f t="shared" si="2"/>
        <v>7</v>
      </c>
      <c r="Q18" s="81">
        <f t="shared" si="3"/>
        <v>14</v>
      </c>
      <c r="R18" s="81">
        <f t="shared" si="4"/>
        <v>28</v>
      </c>
      <c r="S18" s="78"/>
      <c r="T18" s="80"/>
      <c r="U18" s="78"/>
    </row>
    <row r="19" spans="1:21" x14ac:dyDescent="0.25">
      <c r="A19" s="181"/>
      <c r="B19" s="4">
        <v>15</v>
      </c>
      <c r="C19" s="171">
        <v>26.27</v>
      </c>
      <c r="D19" s="172"/>
      <c r="E19" s="78">
        <v>46246</v>
      </c>
      <c r="F19" s="115" t="s">
        <v>750</v>
      </c>
      <c r="G19" s="76">
        <v>9</v>
      </c>
      <c r="H19" s="115" t="s">
        <v>751</v>
      </c>
      <c r="I19" s="76">
        <v>9</v>
      </c>
      <c r="J19" s="115" t="s">
        <v>752</v>
      </c>
      <c r="K19" s="76">
        <v>9</v>
      </c>
      <c r="L19" s="79"/>
      <c r="M19" s="76"/>
      <c r="N19" s="76">
        <f t="shared" si="1"/>
        <v>27</v>
      </c>
      <c r="O19" s="76">
        <f t="shared" si="0"/>
        <v>0.73000000000000043</v>
      </c>
      <c r="P19" s="78">
        <f t="shared" si="2"/>
        <v>46253</v>
      </c>
      <c r="Q19" s="80">
        <f t="shared" si="3"/>
        <v>46260</v>
      </c>
      <c r="R19" s="78">
        <f t="shared" si="4"/>
        <v>46274</v>
      </c>
      <c r="S19" s="78"/>
      <c r="T19" s="80"/>
      <c r="U19" s="78"/>
    </row>
    <row r="20" spans="1:21" x14ac:dyDescent="0.25">
      <c r="A20" s="181"/>
      <c r="B20" s="4">
        <v>16</v>
      </c>
      <c r="C20" s="171">
        <v>26.27</v>
      </c>
      <c r="D20" s="172"/>
      <c r="E20" s="78">
        <v>46249</v>
      </c>
      <c r="F20" s="79"/>
      <c r="G20" s="76"/>
      <c r="H20" s="79"/>
      <c r="I20" s="76"/>
      <c r="J20" s="79"/>
      <c r="K20" s="76"/>
      <c r="L20" s="79"/>
      <c r="M20" s="76"/>
      <c r="N20" s="76">
        <f t="shared" si="1"/>
        <v>0</v>
      </c>
      <c r="O20" s="76">
        <f t="shared" si="0"/>
        <v>-26.27</v>
      </c>
      <c r="P20" s="78">
        <f t="shared" si="2"/>
        <v>46256</v>
      </c>
      <c r="Q20" s="80">
        <f t="shared" si="3"/>
        <v>46263</v>
      </c>
      <c r="R20" s="78">
        <f t="shared" si="4"/>
        <v>46277</v>
      </c>
      <c r="S20" s="78"/>
      <c r="T20" s="80"/>
      <c r="U20" s="78"/>
    </row>
    <row r="21" spans="1:21" x14ac:dyDescent="0.25">
      <c r="A21" s="181"/>
      <c r="B21" s="4">
        <v>17</v>
      </c>
      <c r="C21" s="171">
        <v>26.27</v>
      </c>
      <c r="D21" s="172"/>
      <c r="E21" s="78">
        <v>46246</v>
      </c>
      <c r="F21" s="115" t="s">
        <v>747</v>
      </c>
      <c r="G21" s="76">
        <v>9</v>
      </c>
      <c r="H21" s="115" t="s">
        <v>748</v>
      </c>
      <c r="I21" s="76">
        <v>9</v>
      </c>
      <c r="J21" s="115" t="s">
        <v>749</v>
      </c>
      <c r="K21" s="76">
        <v>9</v>
      </c>
      <c r="L21" s="79"/>
      <c r="M21" s="76"/>
      <c r="N21" s="76">
        <f t="shared" si="1"/>
        <v>27</v>
      </c>
      <c r="O21" s="76">
        <f t="shared" si="0"/>
        <v>0.73000000000000043</v>
      </c>
      <c r="P21" s="78">
        <f t="shared" si="2"/>
        <v>46253</v>
      </c>
      <c r="Q21" s="80">
        <f t="shared" si="3"/>
        <v>46260</v>
      </c>
      <c r="R21" s="78">
        <f t="shared" si="4"/>
        <v>46274</v>
      </c>
      <c r="S21" s="78"/>
      <c r="T21" s="80"/>
      <c r="U21" s="78"/>
    </row>
    <row r="22" spans="1:21" x14ac:dyDescent="0.25">
      <c r="A22" s="181"/>
      <c r="B22" s="4">
        <v>18</v>
      </c>
      <c r="C22" s="171">
        <v>26.27</v>
      </c>
      <c r="D22" s="172"/>
      <c r="E22" s="78">
        <v>46249</v>
      </c>
      <c r="F22" s="79"/>
      <c r="G22" s="76"/>
      <c r="H22" s="79"/>
      <c r="I22" s="76"/>
      <c r="J22" s="79"/>
      <c r="K22" s="76"/>
      <c r="L22" s="79"/>
      <c r="M22" s="76"/>
      <c r="N22" s="76">
        <f t="shared" si="1"/>
        <v>0</v>
      </c>
      <c r="O22" s="76">
        <f t="shared" si="0"/>
        <v>-26.27</v>
      </c>
      <c r="P22" s="78">
        <f t="shared" si="2"/>
        <v>46256</v>
      </c>
      <c r="Q22" s="80">
        <f t="shared" si="3"/>
        <v>46263</v>
      </c>
      <c r="R22" s="78">
        <f t="shared" si="4"/>
        <v>46277</v>
      </c>
      <c r="S22" s="78"/>
      <c r="T22" s="80"/>
      <c r="U22" s="78"/>
    </row>
    <row r="23" spans="1:21" x14ac:dyDescent="0.25">
      <c r="A23" s="181"/>
      <c r="B23" s="4">
        <v>19</v>
      </c>
      <c r="C23" s="171">
        <v>26.27</v>
      </c>
      <c r="D23" s="172"/>
      <c r="E23" s="78">
        <v>46246</v>
      </c>
      <c r="F23" s="115" t="s">
        <v>744</v>
      </c>
      <c r="G23" s="76">
        <v>9</v>
      </c>
      <c r="H23" s="115" t="s">
        <v>745</v>
      </c>
      <c r="I23" s="76">
        <v>9</v>
      </c>
      <c r="J23" s="115" t="s">
        <v>746</v>
      </c>
      <c r="K23" s="76">
        <v>9</v>
      </c>
      <c r="L23" s="79"/>
      <c r="M23" s="76"/>
      <c r="N23" s="76">
        <f t="shared" si="1"/>
        <v>27</v>
      </c>
      <c r="O23" s="76">
        <f t="shared" si="0"/>
        <v>0.73000000000000043</v>
      </c>
      <c r="P23" s="78">
        <f t="shared" si="2"/>
        <v>46253</v>
      </c>
      <c r="Q23" s="80">
        <f t="shared" si="3"/>
        <v>46260</v>
      </c>
      <c r="R23" s="78">
        <f t="shared" si="4"/>
        <v>46274</v>
      </c>
      <c r="S23" s="78"/>
      <c r="T23" s="80"/>
      <c r="U23" s="78"/>
    </row>
    <row r="24" spans="1:21" x14ac:dyDescent="0.25">
      <c r="A24" s="181"/>
      <c r="B24" s="4">
        <v>20</v>
      </c>
      <c r="C24" s="171">
        <v>26.27</v>
      </c>
      <c r="D24" s="172"/>
      <c r="E24" s="78">
        <v>46251</v>
      </c>
      <c r="F24" s="79"/>
      <c r="G24" s="76"/>
      <c r="H24" s="79"/>
      <c r="I24" s="76"/>
      <c r="J24" s="79"/>
      <c r="K24" s="76"/>
      <c r="L24" s="79"/>
      <c r="M24" s="76"/>
      <c r="N24" s="76">
        <f t="shared" si="1"/>
        <v>0</v>
      </c>
      <c r="O24" s="76">
        <f t="shared" si="0"/>
        <v>-26.27</v>
      </c>
      <c r="P24" s="78">
        <f t="shared" si="2"/>
        <v>46258</v>
      </c>
      <c r="Q24" s="80">
        <f t="shared" si="3"/>
        <v>46265</v>
      </c>
      <c r="R24" s="78">
        <f t="shared" si="4"/>
        <v>46279</v>
      </c>
      <c r="S24" s="78"/>
      <c r="T24" s="80"/>
      <c r="U24" s="78"/>
    </row>
    <row r="25" spans="1:21" x14ac:dyDescent="0.25">
      <c r="A25" s="181"/>
      <c r="B25" s="4">
        <v>21</v>
      </c>
      <c r="C25" s="171">
        <v>26.27</v>
      </c>
      <c r="D25" s="172"/>
      <c r="E25" s="78">
        <v>46248</v>
      </c>
      <c r="F25" s="115" t="s">
        <v>790</v>
      </c>
      <c r="G25" s="76">
        <v>9</v>
      </c>
      <c r="H25" s="79"/>
      <c r="I25" s="76"/>
      <c r="J25" s="79"/>
      <c r="K25" s="76"/>
      <c r="L25" s="79"/>
      <c r="M25" s="76"/>
      <c r="N25" s="76">
        <f t="shared" si="1"/>
        <v>9</v>
      </c>
      <c r="O25" s="76">
        <f t="shared" si="0"/>
        <v>-17.27</v>
      </c>
      <c r="P25" s="78">
        <f t="shared" si="2"/>
        <v>46255</v>
      </c>
      <c r="Q25" s="80">
        <f t="shared" si="3"/>
        <v>46262</v>
      </c>
      <c r="R25" s="78">
        <f t="shared" si="4"/>
        <v>46276</v>
      </c>
      <c r="S25" s="78"/>
      <c r="T25" s="80"/>
      <c r="U25" s="78"/>
    </row>
    <row r="26" spans="1:21" x14ac:dyDescent="0.25">
      <c r="A26" s="181"/>
      <c r="B26" s="4">
        <v>22</v>
      </c>
      <c r="C26" s="171">
        <v>26.27</v>
      </c>
      <c r="D26" s="172"/>
      <c r="E26" s="78">
        <v>46250</v>
      </c>
      <c r="F26" s="79"/>
      <c r="G26" s="76"/>
      <c r="H26" s="79"/>
      <c r="I26" s="76"/>
      <c r="J26" s="79"/>
      <c r="K26" s="76"/>
      <c r="L26" s="79"/>
      <c r="M26" s="76"/>
      <c r="N26" s="76">
        <f t="shared" si="1"/>
        <v>0</v>
      </c>
      <c r="O26" s="76">
        <f t="shared" si="0"/>
        <v>-26.27</v>
      </c>
      <c r="P26" s="78">
        <f t="shared" si="2"/>
        <v>46257</v>
      </c>
      <c r="Q26" s="80">
        <f t="shared" si="3"/>
        <v>46264</v>
      </c>
      <c r="R26" s="78">
        <f t="shared" si="4"/>
        <v>46278</v>
      </c>
      <c r="S26" s="78"/>
      <c r="T26" s="80"/>
      <c r="U26" s="78"/>
    </row>
    <row r="27" spans="1:21" x14ac:dyDescent="0.25">
      <c r="A27" s="181"/>
      <c r="B27" s="4">
        <v>23</v>
      </c>
      <c r="C27" s="171">
        <v>26.27</v>
      </c>
      <c r="D27" s="172"/>
      <c r="E27" s="78">
        <v>46249</v>
      </c>
      <c r="F27" s="79"/>
      <c r="G27" s="76"/>
      <c r="H27" s="79"/>
      <c r="I27" s="76"/>
      <c r="J27" s="79"/>
      <c r="K27" s="76"/>
      <c r="L27" s="79"/>
      <c r="M27" s="76"/>
      <c r="N27" s="76">
        <f t="shared" si="1"/>
        <v>0</v>
      </c>
      <c r="O27" s="76">
        <f t="shared" si="0"/>
        <v>-26.27</v>
      </c>
      <c r="P27" s="78">
        <f t="shared" si="2"/>
        <v>46256</v>
      </c>
      <c r="Q27" s="80">
        <f t="shared" si="3"/>
        <v>46263</v>
      </c>
      <c r="R27" s="78">
        <f t="shared" si="4"/>
        <v>46277</v>
      </c>
      <c r="S27" s="78"/>
      <c r="T27" s="80"/>
      <c r="U27" s="78"/>
    </row>
    <row r="28" spans="1:21" x14ac:dyDescent="0.25">
      <c r="A28" s="182"/>
      <c r="B28" s="4">
        <v>24</v>
      </c>
      <c r="C28" s="171">
        <v>26.27</v>
      </c>
      <c r="D28" s="172"/>
      <c r="E28" s="78"/>
      <c r="F28" s="79"/>
      <c r="G28" s="76"/>
      <c r="H28" s="79"/>
      <c r="I28" s="76"/>
      <c r="J28" s="79"/>
      <c r="K28" s="76"/>
      <c r="L28" s="79"/>
      <c r="M28" s="76"/>
      <c r="N28" s="76">
        <f t="shared" si="1"/>
        <v>0</v>
      </c>
      <c r="O28" s="76">
        <f t="shared" si="0"/>
        <v>-26.27</v>
      </c>
      <c r="P28" s="78">
        <f t="shared" si="2"/>
        <v>7</v>
      </c>
      <c r="Q28" s="80">
        <f t="shared" si="3"/>
        <v>14</v>
      </c>
      <c r="R28" s="78">
        <f t="shared" si="4"/>
        <v>28</v>
      </c>
      <c r="S28" s="78"/>
      <c r="T28" s="80"/>
      <c r="U28" s="78"/>
    </row>
    <row r="29" spans="1:21" x14ac:dyDescent="0.25">
      <c r="A29" s="74" t="s">
        <v>68</v>
      </c>
      <c r="B29" s="77"/>
      <c r="C29" s="171">
        <f>SUM(C5:D28)</f>
        <v>630.47999999999979</v>
      </c>
      <c r="D29" s="172"/>
      <c r="E29" s="174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</row>
  </sheetData>
  <mergeCells count="46">
    <mergeCell ref="H1:H4"/>
    <mergeCell ref="A1:B3"/>
    <mergeCell ref="C1:D4"/>
    <mergeCell ref="E1:E4"/>
    <mergeCell ref="F1:F4"/>
    <mergeCell ref="G1:G4"/>
    <mergeCell ref="T1:T4"/>
    <mergeCell ref="I1:I4"/>
    <mergeCell ref="J1:J4"/>
    <mergeCell ref="K1:K4"/>
    <mergeCell ref="L1:L4"/>
    <mergeCell ref="M1:M4"/>
    <mergeCell ref="N1:N4"/>
    <mergeCell ref="C18:D18"/>
    <mergeCell ref="U1:U4"/>
    <mergeCell ref="A5:A28"/>
    <mergeCell ref="C5:D5"/>
    <mergeCell ref="C6:D6"/>
    <mergeCell ref="C7:D7"/>
    <mergeCell ref="C8:D8"/>
    <mergeCell ref="C9:D9"/>
    <mergeCell ref="C10:D10"/>
    <mergeCell ref="C11:D11"/>
    <mergeCell ref="C12:D12"/>
    <mergeCell ref="O1:O4"/>
    <mergeCell ref="P1:P4"/>
    <mergeCell ref="Q1:Q4"/>
    <mergeCell ref="R1:R4"/>
    <mergeCell ref="S1:S4"/>
    <mergeCell ref="C13:D13"/>
    <mergeCell ref="C14:D14"/>
    <mergeCell ref="C15:D15"/>
    <mergeCell ref="C16:D16"/>
    <mergeCell ref="C17:D17"/>
    <mergeCell ref="E29:U29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F51DE-C996-461B-8CCF-7E65343CFBCA}">
  <dimension ref="A1:U29"/>
  <sheetViews>
    <sheetView zoomScale="70" zoomScaleNormal="70" workbookViewId="0">
      <selection activeCell="E17" sqref="E17"/>
    </sheetView>
  </sheetViews>
  <sheetFormatPr defaultRowHeight="15" x14ac:dyDescent="0.25"/>
  <cols>
    <col min="2" max="3" width="10.7109375" customWidth="1"/>
    <col min="4" max="4" width="11.28515625" customWidth="1"/>
    <col min="5" max="5" width="16.7109375" customWidth="1"/>
    <col min="6" max="15" width="16.85546875" customWidth="1"/>
    <col min="16" max="17" width="17.140625" customWidth="1"/>
    <col min="18" max="18" width="18.140625" customWidth="1"/>
    <col min="19" max="20" width="17.28515625" customWidth="1"/>
    <col min="21" max="21" width="18.7109375" customWidth="1"/>
  </cols>
  <sheetData>
    <row r="1" spans="1:21" ht="15" customHeight="1" x14ac:dyDescent="0.25">
      <c r="A1" s="128" t="s">
        <v>89</v>
      </c>
      <c r="B1" s="128"/>
      <c r="C1" s="174" t="s">
        <v>69</v>
      </c>
      <c r="D1" s="175"/>
      <c r="E1" s="173" t="s">
        <v>67</v>
      </c>
      <c r="F1" s="183" t="s">
        <v>70</v>
      </c>
      <c r="G1" s="187" t="s">
        <v>71</v>
      </c>
      <c r="H1" s="183" t="s">
        <v>70</v>
      </c>
      <c r="I1" s="187" t="s">
        <v>71</v>
      </c>
      <c r="J1" s="183" t="s">
        <v>70</v>
      </c>
      <c r="K1" s="187" t="s">
        <v>71</v>
      </c>
      <c r="L1" s="183" t="s">
        <v>70</v>
      </c>
      <c r="M1" s="187" t="s">
        <v>71</v>
      </c>
      <c r="N1" s="183" t="s">
        <v>68</v>
      </c>
      <c r="O1" s="183" t="s">
        <v>74</v>
      </c>
      <c r="P1" s="170" t="s">
        <v>72</v>
      </c>
      <c r="Q1" s="170" t="s">
        <v>78</v>
      </c>
      <c r="R1" s="170" t="s">
        <v>73</v>
      </c>
      <c r="S1" s="170" t="s">
        <v>76</v>
      </c>
      <c r="T1" s="170" t="s">
        <v>79</v>
      </c>
      <c r="U1" s="170" t="s">
        <v>77</v>
      </c>
    </row>
    <row r="2" spans="1:21" x14ac:dyDescent="0.25">
      <c r="A2" s="128"/>
      <c r="B2" s="128"/>
      <c r="C2" s="176"/>
      <c r="D2" s="177"/>
      <c r="E2" s="173"/>
      <c r="F2" s="184"/>
      <c r="G2" s="188"/>
      <c r="H2" s="184"/>
      <c r="I2" s="188"/>
      <c r="J2" s="184"/>
      <c r="K2" s="188"/>
      <c r="L2" s="184"/>
      <c r="M2" s="188"/>
      <c r="N2" s="184"/>
      <c r="O2" s="184"/>
      <c r="P2" s="170"/>
      <c r="Q2" s="170"/>
      <c r="R2" s="170"/>
      <c r="S2" s="170"/>
      <c r="T2" s="170"/>
      <c r="U2" s="170"/>
    </row>
    <row r="3" spans="1:21" ht="15" customHeight="1" x14ac:dyDescent="0.25">
      <c r="A3" s="128"/>
      <c r="B3" s="128"/>
      <c r="C3" s="176"/>
      <c r="D3" s="177"/>
      <c r="E3" s="173"/>
      <c r="F3" s="184"/>
      <c r="G3" s="188"/>
      <c r="H3" s="184"/>
      <c r="I3" s="188"/>
      <c r="J3" s="184"/>
      <c r="K3" s="188"/>
      <c r="L3" s="184"/>
      <c r="M3" s="188"/>
      <c r="N3" s="184"/>
      <c r="O3" s="184"/>
      <c r="P3" s="170"/>
      <c r="Q3" s="170"/>
      <c r="R3" s="170"/>
      <c r="S3" s="170"/>
      <c r="T3" s="170"/>
      <c r="U3" s="170"/>
    </row>
    <row r="4" spans="1:21" x14ac:dyDescent="0.25">
      <c r="A4" s="2" t="s">
        <v>0</v>
      </c>
      <c r="B4" s="75" t="s">
        <v>88</v>
      </c>
      <c r="C4" s="178"/>
      <c r="D4" s="179"/>
      <c r="E4" s="173"/>
      <c r="F4" s="185"/>
      <c r="G4" s="189"/>
      <c r="H4" s="185"/>
      <c r="I4" s="189"/>
      <c r="J4" s="185"/>
      <c r="K4" s="189"/>
      <c r="L4" s="185"/>
      <c r="M4" s="189"/>
      <c r="N4" s="185"/>
      <c r="O4" s="185"/>
      <c r="P4" s="170"/>
      <c r="Q4" s="170"/>
      <c r="R4" s="170"/>
      <c r="S4" s="170"/>
      <c r="T4" s="170"/>
      <c r="U4" s="170"/>
    </row>
    <row r="5" spans="1:21" x14ac:dyDescent="0.25">
      <c r="A5" s="180" t="s">
        <v>23</v>
      </c>
      <c r="B5" s="4">
        <v>1</v>
      </c>
      <c r="C5" s="171">
        <v>27.4</v>
      </c>
      <c r="D5" s="172"/>
      <c r="E5" s="78"/>
      <c r="F5" s="76"/>
      <c r="G5" s="76"/>
      <c r="H5" s="76"/>
      <c r="I5" s="76"/>
      <c r="J5" s="76"/>
      <c r="K5" s="76"/>
      <c r="L5" s="76"/>
      <c r="M5" s="76"/>
      <c r="N5" s="76">
        <f>G5+I5+K5+M5</f>
        <v>0</v>
      </c>
      <c r="O5" s="76">
        <f t="shared" ref="O5:O28" si="0">N5-C5</f>
        <v>-27.4</v>
      </c>
      <c r="P5" s="81">
        <f>E5+7</f>
        <v>7</v>
      </c>
      <c r="Q5" s="81">
        <f>E5+14</f>
        <v>14</v>
      </c>
      <c r="R5" s="81">
        <f>E5+28</f>
        <v>28</v>
      </c>
      <c r="S5" s="81"/>
      <c r="T5" s="81"/>
      <c r="U5" s="78"/>
    </row>
    <row r="6" spans="1:21" x14ac:dyDescent="0.25">
      <c r="A6" s="181"/>
      <c r="B6" s="4">
        <v>2</v>
      </c>
      <c r="C6" s="171">
        <v>27.4</v>
      </c>
      <c r="D6" s="172"/>
      <c r="E6" s="78">
        <v>46252</v>
      </c>
      <c r="F6" s="76"/>
      <c r="G6" s="76"/>
      <c r="H6" s="76"/>
      <c r="I6" s="76"/>
      <c r="J6" s="76"/>
      <c r="K6" s="76"/>
      <c r="L6" s="76"/>
      <c r="M6" s="76"/>
      <c r="N6" s="76">
        <f t="shared" ref="N6:N28" si="1">G6+I6+K6+M6</f>
        <v>0</v>
      </c>
      <c r="O6" s="76">
        <f t="shared" si="0"/>
        <v>-27.4</v>
      </c>
      <c r="P6" s="81">
        <f t="shared" ref="P6:P28" si="2">E6+7</f>
        <v>46259</v>
      </c>
      <c r="Q6" s="81">
        <f t="shared" ref="Q6:Q28" si="3">E6+14</f>
        <v>46266</v>
      </c>
      <c r="R6" s="81">
        <f t="shared" ref="R6:R28" si="4">E6+28</f>
        <v>46280</v>
      </c>
      <c r="S6" s="81"/>
      <c r="T6" s="81"/>
      <c r="U6" s="78"/>
    </row>
    <row r="7" spans="1:21" x14ac:dyDescent="0.25">
      <c r="A7" s="181"/>
      <c r="B7" s="4">
        <v>3</v>
      </c>
      <c r="C7" s="171">
        <v>27.4</v>
      </c>
      <c r="D7" s="172"/>
      <c r="E7" s="78"/>
      <c r="F7" s="76"/>
      <c r="G7" s="76"/>
      <c r="H7" s="76"/>
      <c r="I7" s="76"/>
      <c r="J7" s="76"/>
      <c r="K7" s="76"/>
      <c r="L7" s="76"/>
      <c r="M7" s="76"/>
      <c r="N7" s="76">
        <f t="shared" si="1"/>
        <v>0</v>
      </c>
      <c r="O7" s="76">
        <f t="shared" si="0"/>
        <v>-27.4</v>
      </c>
      <c r="P7" s="81">
        <f t="shared" si="2"/>
        <v>7</v>
      </c>
      <c r="Q7" s="81">
        <f t="shared" si="3"/>
        <v>14</v>
      </c>
      <c r="R7" s="81">
        <f t="shared" si="4"/>
        <v>28</v>
      </c>
      <c r="S7" s="81"/>
      <c r="T7" s="81"/>
      <c r="U7" s="78" t="s">
        <v>75</v>
      </c>
    </row>
    <row r="8" spans="1:21" x14ac:dyDescent="0.25">
      <c r="A8" s="181"/>
      <c r="B8" s="4">
        <v>4</v>
      </c>
      <c r="C8" s="171">
        <v>27.4</v>
      </c>
      <c r="D8" s="172"/>
      <c r="E8" s="78"/>
      <c r="F8" s="76"/>
      <c r="G8" s="76"/>
      <c r="H8" s="76"/>
      <c r="I8" s="76"/>
      <c r="J8" s="76"/>
      <c r="K8" s="76"/>
      <c r="L8" s="76"/>
      <c r="M8" s="76"/>
      <c r="N8" s="76">
        <f t="shared" si="1"/>
        <v>0</v>
      </c>
      <c r="O8" s="76">
        <f t="shared" si="0"/>
        <v>-27.4</v>
      </c>
      <c r="P8" s="81">
        <f t="shared" si="2"/>
        <v>7</v>
      </c>
      <c r="Q8" s="81">
        <f t="shared" si="3"/>
        <v>14</v>
      </c>
      <c r="R8" s="81">
        <f t="shared" si="4"/>
        <v>28</v>
      </c>
      <c r="S8" s="81"/>
      <c r="T8" s="81"/>
      <c r="U8" s="78"/>
    </row>
    <row r="9" spans="1:21" x14ac:dyDescent="0.25">
      <c r="A9" s="181"/>
      <c r="B9" s="4">
        <v>5</v>
      </c>
      <c r="C9" s="171">
        <v>27.4</v>
      </c>
      <c r="D9" s="172"/>
      <c r="E9" s="78"/>
      <c r="F9" s="76"/>
      <c r="G9" s="76"/>
      <c r="H9" s="76"/>
      <c r="I9" s="76"/>
      <c r="J9" s="76"/>
      <c r="K9" s="76"/>
      <c r="L9" s="76"/>
      <c r="M9" s="76"/>
      <c r="N9" s="76">
        <f t="shared" si="1"/>
        <v>0</v>
      </c>
      <c r="O9" s="76">
        <f t="shared" si="0"/>
        <v>-27.4</v>
      </c>
      <c r="P9" s="81">
        <f t="shared" si="2"/>
        <v>7</v>
      </c>
      <c r="Q9" s="81">
        <f t="shared" si="3"/>
        <v>14</v>
      </c>
      <c r="R9" s="81">
        <f t="shared" si="4"/>
        <v>28</v>
      </c>
      <c r="S9" s="81"/>
      <c r="T9" s="81"/>
      <c r="U9" s="78"/>
    </row>
    <row r="10" spans="1:21" x14ac:dyDescent="0.25">
      <c r="A10" s="181"/>
      <c r="B10" s="4">
        <v>6</v>
      </c>
      <c r="C10" s="171">
        <v>27.4</v>
      </c>
      <c r="D10" s="172"/>
      <c r="E10" s="78"/>
      <c r="F10" s="76"/>
      <c r="G10" s="76"/>
      <c r="H10" s="76"/>
      <c r="I10" s="76"/>
      <c r="J10" s="76"/>
      <c r="K10" s="76"/>
      <c r="L10" s="76"/>
      <c r="M10" s="76"/>
      <c r="N10" s="76">
        <f t="shared" si="1"/>
        <v>0</v>
      </c>
      <c r="O10" s="76">
        <f t="shared" si="0"/>
        <v>-27.4</v>
      </c>
      <c r="P10" s="81">
        <f t="shared" si="2"/>
        <v>7</v>
      </c>
      <c r="Q10" s="81">
        <f t="shared" si="3"/>
        <v>14</v>
      </c>
      <c r="R10" s="81">
        <f t="shared" si="4"/>
        <v>28</v>
      </c>
      <c r="S10" s="81"/>
      <c r="T10" s="81"/>
      <c r="U10" s="78"/>
    </row>
    <row r="11" spans="1:21" x14ac:dyDescent="0.25">
      <c r="A11" s="181"/>
      <c r="B11" s="4">
        <v>7</v>
      </c>
      <c r="C11" s="171">
        <v>27.4</v>
      </c>
      <c r="D11" s="172"/>
      <c r="E11" s="78"/>
      <c r="F11" s="79"/>
      <c r="G11" s="76"/>
      <c r="H11" s="79"/>
      <c r="I11" s="76"/>
      <c r="J11" s="79"/>
      <c r="K11" s="76"/>
      <c r="L11" s="76"/>
      <c r="M11" s="76"/>
      <c r="N11" s="76">
        <f t="shared" si="1"/>
        <v>0</v>
      </c>
      <c r="O11" s="76">
        <f t="shared" si="0"/>
        <v>-27.4</v>
      </c>
      <c r="P11" s="81">
        <f t="shared" si="2"/>
        <v>7</v>
      </c>
      <c r="Q11" s="81">
        <f t="shared" si="3"/>
        <v>14</v>
      </c>
      <c r="R11" s="81">
        <f t="shared" si="4"/>
        <v>28</v>
      </c>
      <c r="S11" s="81"/>
      <c r="T11" s="81"/>
      <c r="U11" s="78"/>
    </row>
    <row r="12" spans="1:21" x14ac:dyDescent="0.25">
      <c r="A12" s="181"/>
      <c r="B12" s="4">
        <v>8</v>
      </c>
      <c r="C12" s="171">
        <v>27.4</v>
      </c>
      <c r="D12" s="172"/>
      <c r="E12" s="76"/>
      <c r="F12" s="76"/>
      <c r="G12" s="76"/>
      <c r="H12" s="76"/>
      <c r="I12" s="76"/>
      <c r="J12" s="76"/>
      <c r="K12" s="76"/>
      <c r="L12" s="76"/>
      <c r="M12" s="76"/>
      <c r="N12" s="76">
        <f t="shared" si="1"/>
        <v>0</v>
      </c>
      <c r="O12" s="76">
        <f t="shared" si="0"/>
        <v>-27.4</v>
      </c>
      <c r="P12" s="81">
        <f t="shared" si="2"/>
        <v>7</v>
      </c>
      <c r="Q12" s="81">
        <f t="shared" si="3"/>
        <v>14</v>
      </c>
      <c r="R12" s="81">
        <f t="shared" si="4"/>
        <v>28</v>
      </c>
      <c r="S12" s="81"/>
      <c r="T12" s="81"/>
      <c r="U12" s="78"/>
    </row>
    <row r="13" spans="1:21" x14ac:dyDescent="0.25">
      <c r="A13" s="181"/>
      <c r="B13" s="4">
        <v>9</v>
      </c>
      <c r="C13" s="171">
        <v>27.4</v>
      </c>
      <c r="D13" s="172"/>
      <c r="E13" s="78"/>
      <c r="F13" s="76"/>
      <c r="G13" s="76"/>
      <c r="H13" s="76"/>
      <c r="I13" s="76"/>
      <c r="J13" s="76"/>
      <c r="K13" s="76"/>
      <c r="L13" s="76"/>
      <c r="M13" s="76"/>
      <c r="N13" s="76">
        <f t="shared" si="1"/>
        <v>0</v>
      </c>
      <c r="O13" s="76">
        <f t="shared" si="0"/>
        <v>-27.4</v>
      </c>
      <c r="P13" s="81">
        <f t="shared" si="2"/>
        <v>7</v>
      </c>
      <c r="Q13" s="81">
        <f t="shared" si="3"/>
        <v>14</v>
      </c>
      <c r="R13" s="81">
        <f t="shared" si="4"/>
        <v>28</v>
      </c>
      <c r="S13" s="81"/>
      <c r="T13" s="81"/>
      <c r="U13" s="78"/>
    </row>
    <row r="14" spans="1:21" x14ac:dyDescent="0.25">
      <c r="A14" s="181"/>
      <c r="B14" s="4">
        <v>10</v>
      </c>
      <c r="C14" s="171">
        <v>27.4</v>
      </c>
      <c r="D14" s="172"/>
      <c r="E14" s="78"/>
      <c r="F14" s="76"/>
      <c r="G14" s="76"/>
      <c r="H14" s="76"/>
      <c r="I14" s="76"/>
      <c r="J14" s="76"/>
      <c r="K14" s="76"/>
      <c r="L14" s="76"/>
      <c r="M14" s="76"/>
      <c r="N14" s="76">
        <f t="shared" si="1"/>
        <v>0</v>
      </c>
      <c r="O14" s="76">
        <f t="shared" si="0"/>
        <v>-27.4</v>
      </c>
      <c r="P14" s="81">
        <f t="shared" si="2"/>
        <v>7</v>
      </c>
      <c r="Q14" s="81">
        <f t="shared" si="3"/>
        <v>14</v>
      </c>
      <c r="R14" s="81">
        <f t="shared" si="4"/>
        <v>28</v>
      </c>
      <c r="S14" s="81"/>
      <c r="T14" s="81"/>
      <c r="U14" s="78"/>
    </row>
    <row r="15" spans="1:21" x14ac:dyDescent="0.25">
      <c r="A15" s="181"/>
      <c r="B15" s="4">
        <v>11</v>
      </c>
      <c r="C15" s="171">
        <v>27.4</v>
      </c>
      <c r="D15" s="172"/>
      <c r="E15" s="78">
        <v>46252</v>
      </c>
      <c r="F15" s="79"/>
      <c r="G15" s="76"/>
      <c r="H15" s="79"/>
      <c r="I15" s="76"/>
      <c r="J15" s="79"/>
      <c r="K15" s="76"/>
      <c r="L15" s="76"/>
      <c r="M15" s="76"/>
      <c r="N15" s="76">
        <f t="shared" si="1"/>
        <v>0</v>
      </c>
      <c r="O15" s="76">
        <f t="shared" si="0"/>
        <v>-27.4</v>
      </c>
      <c r="P15" s="81">
        <f t="shared" si="2"/>
        <v>46259</v>
      </c>
      <c r="Q15" s="81">
        <f t="shared" si="3"/>
        <v>46266</v>
      </c>
      <c r="R15" s="81">
        <f t="shared" si="4"/>
        <v>46280</v>
      </c>
      <c r="S15" s="81"/>
      <c r="T15" s="81"/>
      <c r="U15" s="78"/>
    </row>
    <row r="16" spans="1:21" x14ac:dyDescent="0.25">
      <c r="A16" s="181"/>
      <c r="B16" s="4">
        <v>12</v>
      </c>
      <c r="C16" s="171">
        <v>27.4</v>
      </c>
      <c r="D16" s="172"/>
      <c r="E16" s="78"/>
      <c r="F16" s="79"/>
      <c r="G16" s="76"/>
      <c r="H16" s="76"/>
      <c r="I16" s="76"/>
      <c r="J16" s="76"/>
      <c r="K16" s="76"/>
      <c r="L16" s="76"/>
      <c r="M16" s="76"/>
      <c r="N16" s="76">
        <f t="shared" si="1"/>
        <v>0</v>
      </c>
      <c r="O16" s="76">
        <f t="shared" si="0"/>
        <v>-27.4</v>
      </c>
      <c r="P16" s="81">
        <f t="shared" si="2"/>
        <v>7</v>
      </c>
      <c r="Q16" s="81">
        <f t="shared" si="3"/>
        <v>14</v>
      </c>
      <c r="R16" s="81">
        <f t="shared" si="4"/>
        <v>28</v>
      </c>
      <c r="S16" s="81"/>
      <c r="T16" s="81"/>
      <c r="U16" s="78"/>
    </row>
    <row r="17" spans="1:21" x14ac:dyDescent="0.25">
      <c r="A17" s="181"/>
      <c r="B17" s="4">
        <v>13</v>
      </c>
      <c r="C17" s="171">
        <v>27.4</v>
      </c>
      <c r="D17" s="172"/>
      <c r="E17" s="78">
        <v>46253</v>
      </c>
      <c r="F17" s="76"/>
      <c r="G17" s="76"/>
      <c r="H17" s="76"/>
      <c r="I17" s="76"/>
      <c r="J17" s="76"/>
      <c r="K17" s="76"/>
      <c r="L17" s="76"/>
      <c r="M17" s="76"/>
      <c r="N17" s="76">
        <f t="shared" si="1"/>
        <v>0</v>
      </c>
      <c r="O17" s="76">
        <f t="shared" si="0"/>
        <v>-27.4</v>
      </c>
      <c r="P17" s="81">
        <f t="shared" si="2"/>
        <v>46260</v>
      </c>
      <c r="Q17" s="81">
        <f t="shared" si="3"/>
        <v>46267</v>
      </c>
      <c r="R17" s="81">
        <f t="shared" si="4"/>
        <v>46281</v>
      </c>
      <c r="S17" s="78"/>
      <c r="T17" s="80"/>
      <c r="U17" s="78"/>
    </row>
    <row r="18" spans="1:21" x14ac:dyDescent="0.25">
      <c r="A18" s="181"/>
      <c r="B18" s="4">
        <v>14</v>
      </c>
      <c r="C18" s="171">
        <v>27.4</v>
      </c>
      <c r="D18" s="172"/>
      <c r="E18" s="78"/>
      <c r="F18" s="79"/>
      <c r="G18" s="76"/>
      <c r="H18" s="79"/>
      <c r="I18" s="76"/>
      <c r="J18" s="79"/>
      <c r="K18" s="76"/>
      <c r="L18" s="79"/>
      <c r="M18" s="76"/>
      <c r="N18" s="76">
        <f t="shared" si="1"/>
        <v>0</v>
      </c>
      <c r="O18" s="76">
        <f t="shared" si="0"/>
        <v>-27.4</v>
      </c>
      <c r="P18" s="81">
        <f t="shared" si="2"/>
        <v>7</v>
      </c>
      <c r="Q18" s="81">
        <f t="shared" si="3"/>
        <v>14</v>
      </c>
      <c r="R18" s="81">
        <f t="shared" si="4"/>
        <v>28</v>
      </c>
      <c r="S18" s="78"/>
      <c r="T18" s="80"/>
      <c r="U18" s="78"/>
    </row>
    <row r="19" spans="1:21" x14ac:dyDescent="0.25">
      <c r="A19" s="181"/>
      <c r="B19" s="4">
        <v>15</v>
      </c>
      <c r="C19" s="171">
        <v>27.4</v>
      </c>
      <c r="D19" s="172"/>
      <c r="E19" s="78">
        <v>46251</v>
      </c>
      <c r="F19" s="79"/>
      <c r="G19" s="76"/>
      <c r="H19" s="79"/>
      <c r="I19" s="76"/>
      <c r="J19" s="79"/>
      <c r="K19" s="76"/>
      <c r="L19" s="79"/>
      <c r="M19" s="76"/>
      <c r="N19" s="76">
        <f t="shared" si="1"/>
        <v>0</v>
      </c>
      <c r="O19" s="76">
        <f t="shared" si="0"/>
        <v>-27.4</v>
      </c>
      <c r="P19" s="78">
        <f t="shared" si="2"/>
        <v>46258</v>
      </c>
      <c r="Q19" s="80">
        <f t="shared" si="3"/>
        <v>46265</v>
      </c>
      <c r="R19" s="78">
        <f t="shared" si="4"/>
        <v>46279</v>
      </c>
      <c r="S19" s="78"/>
      <c r="T19" s="80"/>
      <c r="U19" s="78"/>
    </row>
    <row r="20" spans="1:21" x14ac:dyDescent="0.25">
      <c r="A20" s="181"/>
      <c r="B20" s="4">
        <v>16</v>
      </c>
      <c r="C20" s="171">
        <v>27.4</v>
      </c>
      <c r="D20" s="172"/>
      <c r="E20" s="78"/>
      <c r="F20" s="79"/>
      <c r="G20" s="76"/>
      <c r="H20" s="79"/>
      <c r="I20" s="76"/>
      <c r="J20" s="79"/>
      <c r="K20" s="76"/>
      <c r="L20" s="79"/>
      <c r="M20" s="76"/>
      <c r="N20" s="76">
        <f t="shared" si="1"/>
        <v>0</v>
      </c>
      <c r="O20" s="76">
        <f t="shared" si="0"/>
        <v>-27.4</v>
      </c>
      <c r="P20" s="78">
        <f t="shared" si="2"/>
        <v>7</v>
      </c>
      <c r="Q20" s="80">
        <f t="shared" si="3"/>
        <v>14</v>
      </c>
      <c r="R20" s="78">
        <f t="shared" si="4"/>
        <v>28</v>
      </c>
      <c r="S20" s="78"/>
      <c r="T20" s="80"/>
      <c r="U20" s="78"/>
    </row>
    <row r="21" spans="1:21" x14ac:dyDescent="0.25">
      <c r="A21" s="181"/>
      <c r="B21" s="4">
        <v>17</v>
      </c>
      <c r="C21" s="171">
        <v>27.4</v>
      </c>
      <c r="D21" s="172"/>
      <c r="E21" s="78"/>
      <c r="F21" s="79"/>
      <c r="G21" s="76"/>
      <c r="H21" s="79"/>
      <c r="I21" s="76"/>
      <c r="J21" s="79"/>
      <c r="K21" s="76"/>
      <c r="L21" s="79"/>
      <c r="M21" s="76"/>
      <c r="N21" s="76">
        <f t="shared" si="1"/>
        <v>0</v>
      </c>
      <c r="O21" s="76">
        <f t="shared" si="0"/>
        <v>-27.4</v>
      </c>
      <c r="P21" s="78">
        <f t="shared" si="2"/>
        <v>7</v>
      </c>
      <c r="Q21" s="80">
        <f t="shared" si="3"/>
        <v>14</v>
      </c>
      <c r="R21" s="78">
        <f t="shared" si="4"/>
        <v>28</v>
      </c>
      <c r="S21" s="78"/>
      <c r="T21" s="80"/>
      <c r="U21" s="78"/>
    </row>
    <row r="22" spans="1:21" x14ac:dyDescent="0.25">
      <c r="A22" s="181"/>
      <c r="B22" s="4">
        <v>18</v>
      </c>
      <c r="C22" s="171">
        <v>27.4</v>
      </c>
      <c r="D22" s="172"/>
      <c r="E22" s="78"/>
      <c r="F22" s="79"/>
      <c r="G22" s="76"/>
      <c r="H22" s="79"/>
      <c r="I22" s="76"/>
      <c r="J22" s="79"/>
      <c r="K22" s="76"/>
      <c r="L22" s="79"/>
      <c r="M22" s="76"/>
      <c r="N22" s="76">
        <f t="shared" si="1"/>
        <v>0</v>
      </c>
      <c r="O22" s="76">
        <f t="shared" si="0"/>
        <v>-27.4</v>
      </c>
      <c r="P22" s="78">
        <f t="shared" si="2"/>
        <v>7</v>
      </c>
      <c r="Q22" s="80">
        <f t="shared" si="3"/>
        <v>14</v>
      </c>
      <c r="R22" s="78">
        <f t="shared" si="4"/>
        <v>28</v>
      </c>
      <c r="S22" s="78"/>
      <c r="T22" s="80"/>
      <c r="U22" s="78"/>
    </row>
    <row r="23" spans="1:21" x14ac:dyDescent="0.25">
      <c r="A23" s="181"/>
      <c r="B23" s="4">
        <v>19</v>
      </c>
      <c r="C23" s="171">
        <v>27.4</v>
      </c>
      <c r="D23" s="172"/>
      <c r="E23" s="78"/>
      <c r="F23" s="79"/>
      <c r="G23" s="76"/>
      <c r="H23" s="79"/>
      <c r="I23" s="76"/>
      <c r="J23" s="79"/>
      <c r="K23" s="76"/>
      <c r="L23" s="79"/>
      <c r="M23" s="76"/>
      <c r="N23" s="76">
        <f t="shared" si="1"/>
        <v>0</v>
      </c>
      <c r="O23" s="76">
        <f t="shared" si="0"/>
        <v>-27.4</v>
      </c>
      <c r="P23" s="78">
        <f t="shared" si="2"/>
        <v>7</v>
      </c>
      <c r="Q23" s="80">
        <f t="shared" si="3"/>
        <v>14</v>
      </c>
      <c r="R23" s="78">
        <f t="shared" si="4"/>
        <v>28</v>
      </c>
      <c r="S23" s="78"/>
      <c r="T23" s="80"/>
      <c r="U23" s="78"/>
    </row>
    <row r="24" spans="1:21" x14ac:dyDescent="0.25">
      <c r="A24" s="181"/>
      <c r="B24" s="4">
        <v>20</v>
      </c>
      <c r="C24" s="171">
        <v>27.4</v>
      </c>
      <c r="D24" s="172"/>
      <c r="E24" s="78"/>
      <c r="F24" s="79"/>
      <c r="G24" s="76"/>
      <c r="H24" s="79"/>
      <c r="I24" s="76"/>
      <c r="J24" s="79"/>
      <c r="K24" s="76"/>
      <c r="L24" s="79"/>
      <c r="M24" s="76"/>
      <c r="N24" s="76">
        <f t="shared" si="1"/>
        <v>0</v>
      </c>
      <c r="O24" s="76">
        <f t="shared" si="0"/>
        <v>-27.4</v>
      </c>
      <c r="P24" s="78">
        <f t="shared" si="2"/>
        <v>7</v>
      </c>
      <c r="Q24" s="80">
        <f t="shared" si="3"/>
        <v>14</v>
      </c>
      <c r="R24" s="78">
        <f t="shared" si="4"/>
        <v>28</v>
      </c>
      <c r="S24" s="78"/>
      <c r="T24" s="80"/>
      <c r="U24" s="78"/>
    </row>
    <row r="25" spans="1:21" x14ac:dyDescent="0.25">
      <c r="A25" s="181"/>
      <c r="B25" s="4">
        <v>21</v>
      </c>
      <c r="C25" s="171">
        <v>27.4</v>
      </c>
      <c r="D25" s="172"/>
      <c r="E25" s="78"/>
      <c r="F25" s="79"/>
      <c r="G25" s="76"/>
      <c r="H25" s="79"/>
      <c r="I25" s="76"/>
      <c r="J25" s="79"/>
      <c r="K25" s="76"/>
      <c r="L25" s="79"/>
      <c r="M25" s="76"/>
      <c r="N25" s="76">
        <f t="shared" si="1"/>
        <v>0</v>
      </c>
      <c r="O25" s="76">
        <f t="shared" si="0"/>
        <v>-27.4</v>
      </c>
      <c r="P25" s="78">
        <f t="shared" si="2"/>
        <v>7</v>
      </c>
      <c r="Q25" s="80">
        <f t="shared" si="3"/>
        <v>14</v>
      </c>
      <c r="R25" s="78">
        <f t="shared" si="4"/>
        <v>28</v>
      </c>
      <c r="S25" s="78"/>
      <c r="T25" s="80"/>
      <c r="U25" s="78"/>
    </row>
    <row r="26" spans="1:21" x14ac:dyDescent="0.25">
      <c r="A26" s="181"/>
      <c r="B26" s="4">
        <v>22</v>
      </c>
      <c r="C26" s="171">
        <v>27.4</v>
      </c>
      <c r="D26" s="172"/>
      <c r="E26" s="78"/>
      <c r="F26" s="79"/>
      <c r="G26" s="76"/>
      <c r="H26" s="79"/>
      <c r="I26" s="76"/>
      <c r="J26" s="79"/>
      <c r="K26" s="76"/>
      <c r="L26" s="79"/>
      <c r="M26" s="76"/>
      <c r="N26" s="76">
        <f t="shared" si="1"/>
        <v>0</v>
      </c>
      <c r="O26" s="76">
        <f t="shared" si="0"/>
        <v>-27.4</v>
      </c>
      <c r="P26" s="78">
        <f t="shared" si="2"/>
        <v>7</v>
      </c>
      <c r="Q26" s="80">
        <f t="shared" si="3"/>
        <v>14</v>
      </c>
      <c r="R26" s="78">
        <f t="shared" si="4"/>
        <v>28</v>
      </c>
      <c r="S26" s="78"/>
      <c r="T26" s="80"/>
      <c r="U26" s="78"/>
    </row>
    <row r="27" spans="1:21" x14ac:dyDescent="0.25">
      <c r="A27" s="181"/>
      <c r="B27" s="4">
        <v>23</v>
      </c>
      <c r="C27" s="171">
        <v>27.4</v>
      </c>
      <c r="D27" s="172"/>
      <c r="E27" s="78">
        <v>46252</v>
      </c>
      <c r="F27" s="79"/>
      <c r="G27" s="76"/>
      <c r="H27" s="79"/>
      <c r="I27" s="76"/>
      <c r="J27" s="79"/>
      <c r="K27" s="76"/>
      <c r="L27" s="79"/>
      <c r="M27" s="76"/>
      <c r="N27" s="76">
        <f t="shared" si="1"/>
        <v>0</v>
      </c>
      <c r="O27" s="76">
        <f t="shared" si="0"/>
        <v>-27.4</v>
      </c>
      <c r="P27" s="78">
        <f t="shared" si="2"/>
        <v>46259</v>
      </c>
      <c r="Q27" s="80">
        <f t="shared" si="3"/>
        <v>46266</v>
      </c>
      <c r="R27" s="78">
        <f t="shared" si="4"/>
        <v>46280</v>
      </c>
      <c r="S27" s="78"/>
      <c r="T27" s="80"/>
      <c r="U27" s="78"/>
    </row>
    <row r="28" spans="1:21" x14ac:dyDescent="0.25">
      <c r="A28" s="182"/>
      <c r="B28" s="4">
        <v>24</v>
      </c>
      <c r="C28" s="171">
        <v>27.4</v>
      </c>
      <c r="D28" s="172"/>
      <c r="E28" s="78"/>
      <c r="F28" s="79"/>
      <c r="G28" s="76"/>
      <c r="H28" s="79"/>
      <c r="I28" s="76"/>
      <c r="J28" s="79"/>
      <c r="K28" s="76"/>
      <c r="L28" s="79"/>
      <c r="M28" s="76"/>
      <c r="N28" s="76">
        <f t="shared" si="1"/>
        <v>0</v>
      </c>
      <c r="O28" s="76">
        <f t="shared" si="0"/>
        <v>-27.4</v>
      </c>
      <c r="P28" s="78">
        <f t="shared" si="2"/>
        <v>7</v>
      </c>
      <c r="Q28" s="80">
        <f t="shared" si="3"/>
        <v>14</v>
      </c>
      <c r="R28" s="78">
        <f t="shared" si="4"/>
        <v>28</v>
      </c>
      <c r="S28" s="78"/>
      <c r="T28" s="80"/>
      <c r="U28" s="78"/>
    </row>
    <row r="29" spans="1:21" x14ac:dyDescent="0.25">
      <c r="A29" s="74" t="s">
        <v>68</v>
      </c>
      <c r="B29" s="77"/>
      <c r="C29" s="171">
        <f>SUM(C5:D28)</f>
        <v>657.59999999999968</v>
      </c>
      <c r="D29" s="172"/>
      <c r="E29" s="174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</row>
  </sheetData>
  <mergeCells count="46">
    <mergeCell ref="H1:H4"/>
    <mergeCell ref="A1:B3"/>
    <mergeCell ref="C1:D4"/>
    <mergeCell ref="E1:E4"/>
    <mergeCell ref="F1:F4"/>
    <mergeCell ref="G1:G4"/>
    <mergeCell ref="T1:T4"/>
    <mergeCell ref="I1:I4"/>
    <mergeCell ref="J1:J4"/>
    <mergeCell ref="K1:K4"/>
    <mergeCell ref="L1:L4"/>
    <mergeCell ref="M1:M4"/>
    <mergeCell ref="N1:N4"/>
    <mergeCell ref="C18:D18"/>
    <mergeCell ref="U1:U4"/>
    <mergeCell ref="A5:A28"/>
    <mergeCell ref="C5:D5"/>
    <mergeCell ref="C6:D6"/>
    <mergeCell ref="C7:D7"/>
    <mergeCell ref="C8:D8"/>
    <mergeCell ref="C9:D9"/>
    <mergeCell ref="C10:D10"/>
    <mergeCell ref="C11:D11"/>
    <mergeCell ref="C12:D12"/>
    <mergeCell ref="O1:O4"/>
    <mergeCell ref="P1:P4"/>
    <mergeCell ref="Q1:Q4"/>
    <mergeCell ref="R1:R4"/>
    <mergeCell ref="S1:S4"/>
    <mergeCell ref="C13:D13"/>
    <mergeCell ref="C14:D14"/>
    <mergeCell ref="C15:D15"/>
    <mergeCell ref="C16:D16"/>
    <mergeCell ref="C17:D17"/>
    <mergeCell ref="E29:U29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55AD1-FA1F-45FC-BB5E-11786B933069}">
  <dimension ref="A1:U29"/>
  <sheetViews>
    <sheetView zoomScale="55" zoomScaleNormal="55" workbookViewId="0">
      <selection activeCell="L37" sqref="L37"/>
    </sheetView>
  </sheetViews>
  <sheetFormatPr defaultRowHeight="15" x14ac:dyDescent="0.25"/>
  <cols>
    <col min="2" max="3" width="10.7109375" customWidth="1"/>
    <col min="4" max="4" width="11.28515625" customWidth="1"/>
    <col min="5" max="5" width="16.7109375" customWidth="1"/>
    <col min="6" max="15" width="16.85546875" customWidth="1"/>
    <col min="16" max="17" width="17.140625" customWidth="1"/>
    <col min="18" max="18" width="18.140625" customWidth="1"/>
    <col min="19" max="20" width="17.28515625" customWidth="1"/>
    <col min="21" max="21" width="18.7109375" customWidth="1"/>
  </cols>
  <sheetData>
    <row r="1" spans="1:21" ht="15" customHeight="1" x14ac:dyDescent="0.25">
      <c r="A1" s="128" t="s">
        <v>89</v>
      </c>
      <c r="B1" s="128"/>
      <c r="C1" s="174" t="s">
        <v>69</v>
      </c>
      <c r="D1" s="175"/>
      <c r="E1" s="173" t="s">
        <v>67</v>
      </c>
      <c r="F1" s="183" t="s">
        <v>70</v>
      </c>
      <c r="G1" s="187" t="s">
        <v>71</v>
      </c>
      <c r="H1" s="183" t="s">
        <v>70</v>
      </c>
      <c r="I1" s="187" t="s">
        <v>71</v>
      </c>
      <c r="J1" s="183" t="s">
        <v>70</v>
      </c>
      <c r="K1" s="187" t="s">
        <v>71</v>
      </c>
      <c r="L1" s="183" t="s">
        <v>70</v>
      </c>
      <c r="M1" s="187" t="s">
        <v>71</v>
      </c>
      <c r="N1" s="183" t="s">
        <v>68</v>
      </c>
      <c r="O1" s="183" t="s">
        <v>74</v>
      </c>
      <c r="P1" s="170" t="s">
        <v>72</v>
      </c>
      <c r="Q1" s="170" t="s">
        <v>78</v>
      </c>
      <c r="R1" s="170" t="s">
        <v>73</v>
      </c>
      <c r="S1" s="170" t="s">
        <v>76</v>
      </c>
      <c r="T1" s="170" t="s">
        <v>79</v>
      </c>
      <c r="U1" s="170" t="s">
        <v>77</v>
      </c>
    </row>
    <row r="2" spans="1:21" x14ac:dyDescent="0.25">
      <c r="A2" s="128"/>
      <c r="B2" s="128"/>
      <c r="C2" s="176"/>
      <c r="D2" s="177"/>
      <c r="E2" s="173"/>
      <c r="F2" s="184"/>
      <c r="G2" s="188"/>
      <c r="H2" s="184"/>
      <c r="I2" s="188"/>
      <c r="J2" s="184"/>
      <c r="K2" s="188"/>
      <c r="L2" s="184"/>
      <c r="M2" s="188"/>
      <c r="N2" s="184"/>
      <c r="O2" s="184"/>
      <c r="P2" s="170"/>
      <c r="Q2" s="170"/>
      <c r="R2" s="170"/>
      <c r="S2" s="170"/>
      <c r="T2" s="170"/>
      <c r="U2" s="170"/>
    </row>
    <row r="3" spans="1:21" ht="15" customHeight="1" x14ac:dyDescent="0.25">
      <c r="A3" s="128"/>
      <c r="B3" s="128"/>
      <c r="C3" s="176"/>
      <c r="D3" s="177"/>
      <c r="E3" s="173"/>
      <c r="F3" s="184"/>
      <c r="G3" s="188"/>
      <c r="H3" s="184"/>
      <c r="I3" s="188"/>
      <c r="J3" s="184"/>
      <c r="K3" s="188"/>
      <c r="L3" s="184"/>
      <c r="M3" s="188"/>
      <c r="N3" s="184"/>
      <c r="O3" s="184"/>
      <c r="P3" s="170"/>
      <c r="Q3" s="170"/>
      <c r="R3" s="170"/>
      <c r="S3" s="170"/>
      <c r="T3" s="170"/>
      <c r="U3" s="170"/>
    </row>
    <row r="4" spans="1:21" x14ac:dyDescent="0.25">
      <c r="A4" s="2" t="s">
        <v>0</v>
      </c>
      <c r="B4" s="75" t="s">
        <v>88</v>
      </c>
      <c r="C4" s="178"/>
      <c r="D4" s="179"/>
      <c r="E4" s="173"/>
      <c r="F4" s="185"/>
      <c r="G4" s="189"/>
      <c r="H4" s="185"/>
      <c r="I4" s="189"/>
      <c r="J4" s="185"/>
      <c r="K4" s="189"/>
      <c r="L4" s="185"/>
      <c r="M4" s="189"/>
      <c r="N4" s="185"/>
      <c r="O4" s="185"/>
      <c r="P4" s="170"/>
      <c r="Q4" s="170"/>
      <c r="R4" s="170"/>
      <c r="S4" s="170"/>
      <c r="T4" s="170"/>
      <c r="U4" s="170"/>
    </row>
    <row r="5" spans="1:21" x14ac:dyDescent="0.25">
      <c r="A5" s="180" t="s">
        <v>83</v>
      </c>
      <c r="B5" s="4">
        <v>1</v>
      </c>
      <c r="C5" s="171">
        <v>27.4</v>
      </c>
      <c r="D5" s="172"/>
      <c r="E5" s="78">
        <v>46248</v>
      </c>
      <c r="F5" s="76"/>
      <c r="G5" s="76"/>
      <c r="H5" s="76"/>
      <c r="I5" s="76"/>
      <c r="J5" s="114"/>
      <c r="K5" s="76"/>
      <c r="L5" s="76"/>
      <c r="M5" s="76"/>
      <c r="N5" s="76">
        <f>G5+I5+K5+M5</f>
        <v>0</v>
      </c>
      <c r="O5" s="76">
        <f t="shared" ref="O5:O28" si="0">N5-C5</f>
        <v>-27.4</v>
      </c>
      <c r="P5" s="81">
        <f>E5+7</f>
        <v>46255</v>
      </c>
      <c r="Q5" s="81">
        <f>E5+14</f>
        <v>46262</v>
      </c>
      <c r="R5" s="81">
        <f>E5+28</f>
        <v>46276</v>
      </c>
      <c r="S5" s="81"/>
      <c r="T5" s="81"/>
      <c r="U5" s="78"/>
    </row>
    <row r="6" spans="1:21" x14ac:dyDescent="0.25">
      <c r="A6" s="181"/>
      <c r="B6" s="4">
        <v>2</v>
      </c>
      <c r="C6" s="171">
        <v>27.4</v>
      </c>
      <c r="D6" s="172"/>
      <c r="E6" s="78">
        <v>46240</v>
      </c>
      <c r="F6" s="114" t="s">
        <v>593</v>
      </c>
      <c r="G6" s="76">
        <v>9</v>
      </c>
      <c r="H6" s="114" t="s">
        <v>594</v>
      </c>
      <c r="I6" s="76">
        <v>9.5</v>
      </c>
      <c r="J6" s="114" t="s">
        <v>595</v>
      </c>
      <c r="K6" s="76">
        <v>9.5</v>
      </c>
      <c r="L6" s="76"/>
      <c r="M6" s="76"/>
      <c r="N6" s="76">
        <f t="shared" ref="N6:N28" si="1">G6+I6+K6+M6</f>
        <v>28</v>
      </c>
      <c r="O6" s="76">
        <f t="shared" si="0"/>
        <v>0.60000000000000142</v>
      </c>
      <c r="P6" s="82">
        <f t="shared" ref="P6:P28" si="2">E6+7</f>
        <v>46247</v>
      </c>
      <c r="Q6" s="81">
        <f t="shared" ref="Q6:Q28" si="3">E6+14</f>
        <v>46254</v>
      </c>
      <c r="R6" s="81">
        <f t="shared" ref="R6:R28" si="4">E6+28</f>
        <v>46268</v>
      </c>
      <c r="S6" s="82" t="s">
        <v>91</v>
      </c>
      <c r="T6" s="81"/>
      <c r="U6" s="78"/>
    </row>
    <row r="7" spans="1:21" x14ac:dyDescent="0.25">
      <c r="A7" s="181"/>
      <c r="B7" s="4">
        <v>3</v>
      </c>
      <c r="C7" s="171">
        <v>27.4</v>
      </c>
      <c r="D7" s="172"/>
      <c r="E7" s="78">
        <v>46244</v>
      </c>
      <c r="F7" s="114" t="s">
        <v>741</v>
      </c>
      <c r="G7" s="76">
        <v>9.5</v>
      </c>
      <c r="H7" s="114" t="s">
        <v>742</v>
      </c>
      <c r="I7" s="76">
        <v>9.5</v>
      </c>
      <c r="J7" s="114" t="s">
        <v>743</v>
      </c>
      <c r="K7" s="76">
        <v>9</v>
      </c>
      <c r="L7" s="76"/>
      <c r="M7" s="76"/>
      <c r="N7" s="76">
        <f t="shared" si="1"/>
        <v>28</v>
      </c>
      <c r="O7" s="76">
        <f t="shared" si="0"/>
        <v>0.60000000000000142</v>
      </c>
      <c r="P7" s="81">
        <f t="shared" si="2"/>
        <v>46251</v>
      </c>
      <c r="Q7" s="81">
        <f t="shared" si="3"/>
        <v>46258</v>
      </c>
      <c r="R7" s="81">
        <f t="shared" si="4"/>
        <v>46272</v>
      </c>
      <c r="S7" s="81"/>
      <c r="T7" s="81"/>
      <c r="U7" s="78" t="s">
        <v>75</v>
      </c>
    </row>
    <row r="8" spans="1:21" x14ac:dyDescent="0.25">
      <c r="A8" s="181"/>
      <c r="B8" s="4">
        <v>4</v>
      </c>
      <c r="C8" s="171">
        <v>27.4</v>
      </c>
      <c r="D8" s="172"/>
      <c r="E8" s="78">
        <v>46241</v>
      </c>
      <c r="F8" s="114" t="s">
        <v>587</v>
      </c>
      <c r="G8" s="76">
        <v>9</v>
      </c>
      <c r="H8" s="114" t="s">
        <v>588</v>
      </c>
      <c r="I8" s="76">
        <v>9.5</v>
      </c>
      <c r="J8" s="114" t="s">
        <v>589</v>
      </c>
      <c r="K8" s="76">
        <v>9.5</v>
      </c>
      <c r="L8" s="76"/>
      <c r="M8" s="76"/>
      <c r="N8" s="76">
        <f t="shared" si="1"/>
        <v>28</v>
      </c>
      <c r="O8" s="76">
        <f t="shared" si="0"/>
        <v>0.60000000000000142</v>
      </c>
      <c r="P8" s="82">
        <f t="shared" si="2"/>
        <v>46248</v>
      </c>
      <c r="Q8" s="81">
        <f t="shared" si="3"/>
        <v>46255</v>
      </c>
      <c r="R8" s="81">
        <f t="shared" si="4"/>
        <v>46269</v>
      </c>
      <c r="S8" s="82" t="s">
        <v>91</v>
      </c>
      <c r="T8" s="81"/>
      <c r="U8" s="78"/>
    </row>
    <row r="9" spans="1:21" x14ac:dyDescent="0.25">
      <c r="A9" s="181"/>
      <c r="B9" s="4">
        <v>5</v>
      </c>
      <c r="C9" s="171">
        <v>27.4</v>
      </c>
      <c r="D9" s="172"/>
      <c r="E9" s="78">
        <v>46245</v>
      </c>
      <c r="F9" s="114" t="s">
        <v>738</v>
      </c>
      <c r="G9" s="76">
        <v>9</v>
      </c>
      <c r="H9" s="114" t="s">
        <v>739</v>
      </c>
      <c r="I9" s="76">
        <v>9.5</v>
      </c>
      <c r="J9" s="114" t="s">
        <v>740</v>
      </c>
      <c r="K9" s="76">
        <v>9.5</v>
      </c>
      <c r="L9" s="76"/>
      <c r="M9" s="76"/>
      <c r="N9" s="76">
        <f t="shared" si="1"/>
        <v>28</v>
      </c>
      <c r="O9" s="76">
        <f t="shared" si="0"/>
        <v>0.60000000000000142</v>
      </c>
      <c r="P9" s="81">
        <f t="shared" si="2"/>
        <v>46252</v>
      </c>
      <c r="Q9" s="81">
        <f t="shared" si="3"/>
        <v>46259</v>
      </c>
      <c r="R9" s="81">
        <f t="shared" si="4"/>
        <v>46273</v>
      </c>
      <c r="S9" s="81"/>
      <c r="T9" s="81"/>
      <c r="U9" s="78"/>
    </row>
    <row r="10" spans="1:21" x14ac:dyDescent="0.25">
      <c r="A10" s="181"/>
      <c r="B10" s="4">
        <v>6</v>
      </c>
      <c r="C10" s="171">
        <v>27.4</v>
      </c>
      <c r="D10" s="172"/>
      <c r="E10" s="78">
        <v>46242</v>
      </c>
      <c r="F10" s="114" t="s">
        <v>584</v>
      </c>
      <c r="G10" s="76">
        <v>9</v>
      </c>
      <c r="H10" s="114" t="s">
        <v>585</v>
      </c>
      <c r="I10" s="76">
        <v>9.5</v>
      </c>
      <c r="J10" s="114" t="s">
        <v>586</v>
      </c>
      <c r="K10" s="76">
        <v>9.5</v>
      </c>
      <c r="L10" s="76"/>
      <c r="M10" s="76"/>
      <c r="N10" s="76">
        <f t="shared" si="1"/>
        <v>28</v>
      </c>
      <c r="O10" s="76">
        <f t="shared" si="0"/>
        <v>0.60000000000000142</v>
      </c>
      <c r="P10" s="81">
        <f t="shared" si="2"/>
        <v>46249</v>
      </c>
      <c r="Q10" s="81">
        <f t="shared" si="3"/>
        <v>46256</v>
      </c>
      <c r="R10" s="81">
        <f t="shared" si="4"/>
        <v>46270</v>
      </c>
      <c r="S10" s="81"/>
      <c r="T10" s="81"/>
      <c r="U10" s="78"/>
    </row>
    <row r="11" spans="1:21" x14ac:dyDescent="0.25">
      <c r="A11" s="181"/>
      <c r="B11" s="4">
        <v>7</v>
      </c>
      <c r="C11" s="171">
        <v>27.4</v>
      </c>
      <c r="D11" s="172"/>
      <c r="E11" s="78">
        <v>46246</v>
      </c>
      <c r="F11" s="115" t="s">
        <v>812</v>
      </c>
      <c r="G11" s="76">
        <v>9.5</v>
      </c>
      <c r="H11" s="115" t="s">
        <v>813</v>
      </c>
      <c r="I11" s="76">
        <v>9.5</v>
      </c>
      <c r="J11" s="115" t="s">
        <v>814</v>
      </c>
      <c r="K11" s="76">
        <v>9</v>
      </c>
      <c r="L11" s="76"/>
      <c r="M11" s="76"/>
      <c r="N11" s="76">
        <f t="shared" si="1"/>
        <v>28</v>
      </c>
      <c r="O11" s="76">
        <f t="shared" si="0"/>
        <v>0.60000000000000142</v>
      </c>
      <c r="P11" s="81">
        <f t="shared" si="2"/>
        <v>46253</v>
      </c>
      <c r="Q11" s="81">
        <f t="shared" si="3"/>
        <v>46260</v>
      </c>
      <c r="R11" s="81">
        <f t="shared" si="4"/>
        <v>46274</v>
      </c>
      <c r="S11" s="81"/>
      <c r="T11" s="81"/>
      <c r="U11" s="78"/>
    </row>
    <row r="12" spans="1:21" x14ac:dyDescent="0.25">
      <c r="A12" s="181"/>
      <c r="B12" s="4">
        <v>8</v>
      </c>
      <c r="C12" s="171">
        <v>27.4</v>
      </c>
      <c r="D12" s="172"/>
      <c r="E12" s="78">
        <v>46245</v>
      </c>
      <c r="F12" s="114" t="s">
        <v>732</v>
      </c>
      <c r="G12" s="76">
        <v>9</v>
      </c>
      <c r="H12" s="114" t="s">
        <v>733</v>
      </c>
      <c r="I12" s="76">
        <v>9</v>
      </c>
      <c r="J12" s="114" t="s">
        <v>734</v>
      </c>
      <c r="K12" s="76">
        <v>9.5</v>
      </c>
      <c r="L12" s="76"/>
      <c r="M12" s="76"/>
      <c r="N12" s="76">
        <f t="shared" si="1"/>
        <v>27.5</v>
      </c>
      <c r="O12" s="76">
        <f t="shared" si="0"/>
        <v>0.10000000000000142</v>
      </c>
      <c r="P12" s="81">
        <f t="shared" si="2"/>
        <v>46252</v>
      </c>
      <c r="Q12" s="81">
        <f t="shared" si="3"/>
        <v>46259</v>
      </c>
      <c r="R12" s="81">
        <f t="shared" si="4"/>
        <v>46273</v>
      </c>
      <c r="S12" s="81"/>
      <c r="T12" s="81"/>
      <c r="U12" s="78"/>
    </row>
    <row r="13" spans="1:21" x14ac:dyDescent="0.25">
      <c r="A13" s="181"/>
      <c r="B13" s="4">
        <v>9</v>
      </c>
      <c r="C13" s="171">
        <v>27.4</v>
      </c>
      <c r="D13" s="172"/>
      <c r="E13" s="78">
        <v>46246</v>
      </c>
      <c r="F13" s="114" t="s">
        <v>729</v>
      </c>
      <c r="G13" s="76">
        <v>9</v>
      </c>
      <c r="H13" s="114" t="s">
        <v>730</v>
      </c>
      <c r="I13" s="76">
        <v>9.5</v>
      </c>
      <c r="J13" s="114" t="s">
        <v>731</v>
      </c>
      <c r="K13" s="76">
        <v>9.5</v>
      </c>
      <c r="L13" s="76"/>
      <c r="M13" s="76"/>
      <c r="N13" s="76">
        <f t="shared" si="1"/>
        <v>28</v>
      </c>
      <c r="O13" s="76">
        <f t="shared" si="0"/>
        <v>0.60000000000000142</v>
      </c>
      <c r="P13" s="81">
        <f t="shared" si="2"/>
        <v>46253</v>
      </c>
      <c r="Q13" s="81">
        <f t="shared" si="3"/>
        <v>46260</v>
      </c>
      <c r="R13" s="81">
        <f t="shared" si="4"/>
        <v>46274</v>
      </c>
      <c r="S13" s="81"/>
      <c r="T13" s="81"/>
      <c r="U13" s="78"/>
    </row>
    <row r="14" spans="1:21" x14ac:dyDescent="0.25">
      <c r="A14" s="181"/>
      <c r="B14" s="4">
        <v>10</v>
      </c>
      <c r="C14" s="171">
        <v>27.4</v>
      </c>
      <c r="D14" s="172"/>
      <c r="E14" s="78">
        <v>46249</v>
      </c>
      <c r="F14" s="76"/>
      <c r="G14" s="76"/>
      <c r="H14" s="76"/>
      <c r="I14" s="76"/>
      <c r="J14" s="76"/>
      <c r="K14" s="76"/>
      <c r="L14" s="76"/>
      <c r="M14" s="76"/>
      <c r="N14" s="76">
        <f t="shared" si="1"/>
        <v>0</v>
      </c>
      <c r="O14" s="76">
        <f t="shared" si="0"/>
        <v>-27.4</v>
      </c>
      <c r="P14" s="81">
        <f t="shared" si="2"/>
        <v>46256</v>
      </c>
      <c r="Q14" s="81">
        <f t="shared" si="3"/>
        <v>46263</v>
      </c>
      <c r="R14" s="81">
        <f t="shared" si="4"/>
        <v>46277</v>
      </c>
      <c r="S14" s="81"/>
      <c r="T14" s="81"/>
      <c r="U14" s="78"/>
    </row>
    <row r="15" spans="1:21" x14ac:dyDescent="0.25">
      <c r="A15" s="181"/>
      <c r="B15" s="4">
        <v>11</v>
      </c>
      <c r="C15" s="171">
        <v>27.4</v>
      </c>
      <c r="D15" s="172"/>
      <c r="E15" s="78">
        <v>46243</v>
      </c>
      <c r="F15" s="115" t="s">
        <v>578</v>
      </c>
      <c r="G15" s="76">
        <v>9</v>
      </c>
      <c r="H15" s="115" t="s">
        <v>579</v>
      </c>
      <c r="I15" s="76">
        <v>9.5</v>
      </c>
      <c r="J15" s="115" t="s">
        <v>580</v>
      </c>
      <c r="K15" s="76">
        <v>9.5</v>
      </c>
      <c r="L15" s="76"/>
      <c r="M15" s="76"/>
      <c r="N15" s="76">
        <f t="shared" si="1"/>
        <v>28</v>
      </c>
      <c r="O15" s="76">
        <f t="shared" si="0"/>
        <v>0.60000000000000142</v>
      </c>
      <c r="P15" s="81">
        <f t="shared" si="2"/>
        <v>46250</v>
      </c>
      <c r="Q15" s="81">
        <f t="shared" si="3"/>
        <v>46257</v>
      </c>
      <c r="R15" s="81">
        <f t="shared" si="4"/>
        <v>46271</v>
      </c>
      <c r="S15" s="81"/>
      <c r="T15" s="81"/>
      <c r="U15" s="78"/>
    </row>
    <row r="16" spans="1:21" x14ac:dyDescent="0.25">
      <c r="A16" s="181"/>
      <c r="B16" s="4">
        <v>12</v>
      </c>
      <c r="C16" s="171">
        <v>27.4</v>
      </c>
      <c r="D16" s="172"/>
      <c r="E16" s="78">
        <v>46248</v>
      </c>
      <c r="F16" s="79"/>
      <c r="G16" s="76"/>
      <c r="H16" s="76"/>
      <c r="I16" s="76"/>
      <c r="J16" s="76"/>
      <c r="K16" s="76"/>
      <c r="L16" s="76"/>
      <c r="M16" s="76"/>
      <c r="N16" s="76">
        <f t="shared" si="1"/>
        <v>0</v>
      </c>
      <c r="O16" s="76">
        <f t="shared" si="0"/>
        <v>-27.4</v>
      </c>
      <c r="P16" s="81">
        <f t="shared" si="2"/>
        <v>46255</v>
      </c>
      <c r="Q16" s="81">
        <f t="shared" si="3"/>
        <v>46262</v>
      </c>
      <c r="R16" s="81">
        <f t="shared" si="4"/>
        <v>46276</v>
      </c>
      <c r="S16" s="81"/>
      <c r="T16" s="81"/>
      <c r="U16" s="78"/>
    </row>
    <row r="17" spans="1:21" x14ac:dyDescent="0.25">
      <c r="A17" s="181"/>
      <c r="B17" s="4">
        <v>13</v>
      </c>
      <c r="C17" s="171">
        <v>27.4</v>
      </c>
      <c r="D17" s="172"/>
      <c r="E17" s="78">
        <v>46239</v>
      </c>
      <c r="F17" s="114" t="s">
        <v>500</v>
      </c>
      <c r="G17" s="76">
        <v>9</v>
      </c>
      <c r="H17" s="114" t="s">
        <v>501</v>
      </c>
      <c r="I17" s="76">
        <v>9.5</v>
      </c>
      <c r="J17" s="114" t="s">
        <v>502</v>
      </c>
      <c r="K17" s="76">
        <v>9.5</v>
      </c>
      <c r="L17" s="76"/>
      <c r="M17" s="76"/>
      <c r="N17" s="76">
        <f t="shared" si="1"/>
        <v>28</v>
      </c>
      <c r="O17" s="76">
        <f t="shared" si="0"/>
        <v>0.60000000000000142</v>
      </c>
      <c r="P17" s="82">
        <f t="shared" si="2"/>
        <v>46246</v>
      </c>
      <c r="Q17" s="81">
        <f t="shared" si="3"/>
        <v>46253</v>
      </c>
      <c r="R17" s="81">
        <f t="shared" si="4"/>
        <v>46267</v>
      </c>
      <c r="S17" s="82" t="s">
        <v>91</v>
      </c>
      <c r="T17" s="80"/>
      <c r="U17" s="78"/>
    </row>
    <row r="18" spans="1:21" x14ac:dyDescent="0.25">
      <c r="A18" s="181"/>
      <c r="B18" s="4">
        <v>14</v>
      </c>
      <c r="C18" s="171">
        <v>27.4</v>
      </c>
      <c r="D18" s="172"/>
      <c r="E18" s="78">
        <v>46247</v>
      </c>
      <c r="F18" s="115" t="s">
        <v>818</v>
      </c>
      <c r="G18" s="76">
        <v>9.5</v>
      </c>
      <c r="H18" s="115" t="s">
        <v>819</v>
      </c>
      <c r="I18" s="76">
        <v>9.5</v>
      </c>
      <c r="J18" s="115" t="s">
        <v>820</v>
      </c>
      <c r="K18" s="76">
        <v>9</v>
      </c>
      <c r="L18" s="79"/>
      <c r="M18" s="76"/>
      <c r="N18" s="76">
        <f t="shared" si="1"/>
        <v>28</v>
      </c>
      <c r="O18" s="76">
        <f t="shared" si="0"/>
        <v>0.60000000000000142</v>
      </c>
      <c r="P18" s="81">
        <f t="shared" si="2"/>
        <v>46254</v>
      </c>
      <c r="Q18" s="81">
        <f t="shared" si="3"/>
        <v>46261</v>
      </c>
      <c r="R18" s="81">
        <f t="shared" si="4"/>
        <v>46275</v>
      </c>
      <c r="S18" s="78"/>
      <c r="T18" s="80"/>
      <c r="U18" s="78"/>
    </row>
    <row r="19" spans="1:21" x14ac:dyDescent="0.25">
      <c r="A19" s="181"/>
      <c r="B19" s="4">
        <v>15</v>
      </c>
      <c r="C19" s="171">
        <v>27.4</v>
      </c>
      <c r="D19" s="172"/>
      <c r="E19" s="78">
        <v>46241</v>
      </c>
      <c r="F19" s="115" t="s">
        <v>590</v>
      </c>
      <c r="G19" s="76">
        <v>9</v>
      </c>
      <c r="H19" s="115" t="s">
        <v>591</v>
      </c>
      <c r="I19" s="76">
        <v>9.5</v>
      </c>
      <c r="J19" s="115" t="s">
        <v>592</v>
      </c>
      <c r="K19" s="76">
        <v>9.5</v>
      </c>
      <c r="L19" s="79"/>
      <c r="M19" s="76"/>
      <c r="N19" s="76">
        <f t="shared" si="1"/>
        <v>28</v>
      </c>
      <c r="O19" s="76">
        <f t="shared" si="0"/>
        <v>0.60000000000000142</v>
      </c>
      <c r="P19" s="82">
        <f t="shared" si="2"/>
        <v>46248</v>
      </c>
      <c r="Q19" s="80">
        <f t="shared" si="3"/>
        <v>46255</v>
      </c>
      <c r="R19" s="78">
        <f t="shared" si="4"/>
        <v>46269</v>
      </c>
      <c r="S19" s="82" t="s">
        <v>91</v>
      </c>
      <c r="T19" s="80"/>
      <c r="U19" s="78"/>
    </row>
    <row r="20" spans="1:21" x14ac:dyDescent="0.25">
      <c r="A20" s="181"/>
      <c r="B20" s="4">
        <v>16</v>
      </c>
      <c r="C20" s="171">
        <v>27.4</v>
      </c>
      <c r="D20" s="172"/>
      <c r="E20" s="78">
        <v>46244</v>
      </c>
      <c r="F20" s="115" t="s">
        <v>726</v>
      </c>
      <c r="G20" s="76">
        <v>9.5</v>
      </c>
      <c r="H20" s="115" t="s">
        <v>727</v>
      </c>
      <c r="I20" s="76">
        <v>9.5</v>
      </c>
      <c r="J20" s="115" t="s">
        <v>728</v>
      </c>
      <c r="K20" s="76">
        <v>9</v>
      </c>
      <c r="L20" s="79"/>
      <c r="M20" s="76"/>
      <c r="N20" s="76">
        <f t="shared" si="1"/>
        <v>28</v>
      </c>
      <c r="O20" s="76">
        <f t="shared" si="0"/>
        <v>0.60000000000000142</v>
      </c>
      <c r="P20" s="78">
        <f t="shared" si="2"/>
        <v>46251</v>
      </c>
      <c r="Q20" s="80">
        <f t="shared" si="3"/>
        <v>46258</v>
      </c>
      <c r="R20" s="78">
        <f t="shared" si="4"/>
        <v>46272</v>
      </c>
      <c r="S20" s="78"/>
      <c r="T20" s="80"/>
      <c r="U20" s="78"/>
    </row>
    <row r="21" spans="1:21" x14ac:dyDescent="0.25">
      <c r="A21" s="181"/>
      <c r="B21" s="4">
        <v>17</v>
      </c>
      <c r="C21" s="171">
        <v>27.4</v>
      </c>
      <c r="D21" s="172"/>
      <c r="E21" s="78">
        <v>46242</v>
      </c>
      <c r="F21" s="115" t="s">
        <v>581</v>
      </c>
      <c r="G21" s="76">
        <v>9.5</v>
      </c>
      <c r="H21" s="115" t="s">
        <v>582</v>
      </c>
      <c r="I21" s="76">
        <v>9.5</v>
      </c>
      <c r="J21" s="115" t="s">
        <v>583</v>
      </c>
      <c r="K21" s="76">
        <v>9</v>
      </c>
      <c r="L21" s="79"/>
      <c r="M21" s="76"/>
      <c r="N21" s="76">
        <f t="shared" si="1"/>
        <v>28</v>
      </c>
      <c r="O21" s="76">
        <f t="shared" si="0"/>
        <v>0.60000000000000142</v>
      </c>
      <c r="P21" s="78">
        <f t="shared" si="2"/>
        <v>46249</v>
      </c>
      <c r="Q21" s="80">
        <f t="shared" si="3"/>
        <v>46256</v>
      </c>
      <c r="R21" s="78">
        <f t="shared" si="4"/>
        <v>46270</v>
      </c>
      <c r="S21" s="78"/>
      <c r="T21" s="80"/>
      <c r="U21" s="78"/>
    </row>
    <row r="22" spans="1:21" x14ac:dyDescent="0.25">
      <c r="A22" s="181"/>
      <c r="B22" s="4">
        <v>18</v>
      </c>
      <c r="C22" s="171">
        <v>27.4</v>
      </c>
      <c r="D22" s="172"/>
      <c r="E22" s="78">
        <v>46245</v>
      </c>
      <c r="F22" s="115" t="s">
        <v>735</v>
      </c>
      <c r="G22" s="76">
        <v>9</v>
      </c>
      <c r="H22" s="115" t="s">
        <v>736</v>
      </c>
      <c r="I22" s="76">
        <v>9.5</v>
      </c>
      <c r="J22" s="115" t="s">
        <v>737</v>
      </c>
      <c r="K22" s="76">
        <v>9.5</v>
      </c>
      <c r="L22" s="79"/>
      <c r="M22" s="76"/>
      <c r="N22" s="76">
        <f t="shared" si="1"/>
        <v>28</v>
      </c>
      <c r="O22" s="76">
        <f t="shared" si="0"/>
        <v>0.60000000000000142</v>
      </c>
      <c r="P22" s="78">
        <f t="shared" si="2"/>
        <v>46252</v>
      </c>
      <c r="Q22" s="80">
        <f t="shared" si="3"/>
        <v>46259</v>
      </c>
      <c r="R22" s="78">
        <f t="shared" si="4"/>
        <v>46273</v>
      </c>
      <c r="S22" s="78"/>
      <c r="T22" s="80"/>
      <c r="U22" s="78"/>
    </row>
    <row r="23" spans="1:21" x14ac:dyDescent="0.25">
      <c r="A23" s="181"/>
      <c r="B23" s="4">
        <v>19</v>
      </c>
      <c r="C23" s="171">
        <v>27.4</v>
      </c>
      <c r="D23" s="172"/>
      <c r="E23" s="78">
        <v>46243</v>
      </c>
      <c r="F23" s="115" t="s">
        <v>575</v>
      </c>
      <c r="G23" s="76">
        <v>9</v>
      </c>
      <c r="H23" s="115" t="s">
        <v>576</v>
      </c>
      <c r="I23" s="76">
        <v>9.5</v>
      </c>
      <c r="J23" s="115" t="s">
        <v>577</v>
      </c>
      <c r="K23" s="76">
        <v>9.5</v>
      </c>
      <c r="L23" s="79"/>
      <c r="M23" s="76"/>
      <c r="N23" s="76">
        <f t="shared" si="1"/>
        <v>28</v>
      </c>
      <c r="O23" s="76">
        <f t="shared" si="0"/>
        <v>0.60000000000000142</v>
      </c>
      <c r="P23" s="78">
        <f t="shared" si="2"/>
        <v>46250</v>
      </c>
      <c r="Q23" s="80">
        <f t="shared" si="3"/>
        <v>46257</v>
      </c>
      <c r="R23" s="78">
        <f t="shared" si="4"/>
        <v>46271</v>
      </c>
      <c r="S23" s="78"/>
      <c r="T23" s="80"/>
      <c r="U23" s="78"/>
    </row>
    <row r="24" spans="1:21" x14ac:dyDescent="0.25">
      <c r="A24" s="181"/>
      <c r="B24" s="4">
        <v>20</v>
      </c>
      <c r="C24" s="171">
        <v>27.4</v>
      </c>
      <c r="D24" s="172"/>
      <c r="E24" s="78">
        <v>46246</v>
      </c>
      <c r="F24" s="115" t="s">
        <v>723</v>
      </c>
      <c r="G24" s="76">
        <v>9</v>
      </c>
      <c r="H24" s="115" t="s">
        <v>724</v>
      </c>
      <c r="I24" s="76">
        <v>9.5</v>
      </c>
      <c r="J24" s="115" t="s">
        <v>725</v>
      </c>
      <c r="K24" s="76">
        <v>9.5</v>
      </c>
      <c r="L24" s="79"/>
      <c r="M24" s="76"/>
      <c r="N24" s="76">
        <f t="shared" si="1"/>
        <v>28</v>
      </c>
      <c r="O24" s="76">
        <f t="shared" si="0"/>
        <v>0.60000000000000142</v>
      </c>
      <c r="P24" s="78">
        <f t="shared" si="2"/>
        <v>46253</v>
      </c>
      <c r="Q24" s="80">
        <f t="shared" si="3"/>
        <v>46260</v>
      </c>
      <c r="R24" s="78">
        <f t="shared" si="4"/>
        <v>46274</v>
      </c>
      <c r="S24" s="78"/>
      <c r="T24" s="80"/>
      <c r="U24" s="78"/>
    </row>
    <row r="25" spans="1:21" x14ac:dyDescent="0.25">
      <c r="A25" s="181"/>
      <c r="B25" s="4">
        <v>21</v>
      </c>
      <c r="C25" s="171">
        <v>27.4</v>
      </c>
      <c r="D25" s="172"/>
      <c r="E25" s="78">
        <v>46247</v>
      </c>
      <c r="F25" s="115" t="s">
        <v>815</v>
      </c>
      <c r="G25" s="76">
        <v>9.5</v>
      </c>
      <c r="H25" s="115" t="s">
        <v>816</v>
      </c>
      <c r="I25" s="76">
        <v>9.5</v>
      </c>
      <c r="J25" s="115" t="s">
        <v>817</v>
      </c>
      <c r="K25" s="76">
        <v>9</v>
      </c>
      <c r="L25" s="79"/>
      <c r="M25" s="76"/>
      <c r="N25" s="76">
        <f t="shared" si="1"/>
        <v>28</v>
      </c>
      <c r="O25" s="76">
        <f t="shared" si="0"/>
        <v>0.60000000000000142</v>
      </c>
      <c r="P25" s="78">
        <f t="shared" si="2"/>
        <v>46254</v>
      </c>
      <c r="Q25" s="80">
        <f t="shared" si="3"/>
        <v>46261</v>
      </c>
      <c r="R25" s="78">
        <f t="shared" si="4"/>
        <v>46275</v>
      </c>
      <c r="S25" s="78"/>
      <c r="T25" s="80"/>
      <c r="U25" s="78"/>
    </row>
    <row r="26" spans="1:21" x14ac:dyDescent="0.25">
      <c r="A26" s="181"/>
      <c r="B26" s="4">
        <v>22</v>
      </c>
      <c r="C26" s="171">
        <v>27.4</v>
      </c>
      <c r="D26" s="172"/>
      <c r="E26" s="78">
        <v>46250</v>
      </c>
      <c r="F26" s="79"/>
      <c r="G26" s="76"/>
      <c r="H26" s="76"/>
      <c r="I26" s="76"/>
      <c r="J26" s="79"/>
      <c r="K26" s="76"/>
      <c r="L26" s="79"/>
      <c r="M26" s="76"/>
      <c r="N26" s="76">
        <f t="shared" si="1"/>
        <v>0</v>
      </c>
      <c r="O26" s="76">
        <f t="shared" si="0"/>
        <v>-27.4</v>
      </c>
      <c r="P26" s="78">
        <f t="shared" si="2"/>
        <v>46257</v>
      </c>
      <c r="Q26" s="80">
        <f t="shared" si="3"/>
        <v>46264</v>
      </c>
      <c r="R26" s="78">
        <f t="shared" si="4"/>
        <v>46278</v>
      </c>
      <c r="S26" s="78"/>
      <c r="T26" s="80"/>
      <c r="U26" s="78"/>
    </row>
    <row r="27" spans="1:21" x14ac:dyDescent="0.25">
      <c r="A27" s="181"/>
      <c r="B27" s="4">
        <v>23</v>
      </c>
      <c r="C27" s="171">
        <v>27.4</v>
      </c>
      <c r="D27" s="172"/>
      <c r="E27" s="78">
        <v>46249</v>
      </c>
      <c r="F27" s="79"/>
      <c r="G27" s="76"/>
      <c r="H27" s="79"/>
      <c r="I27" s="76"/>
      <c r="J27" s="79"/>
      <c r="K27" s="76"/>
      <c r="L27" s="79"/>
      <c r="M27" s="76"/>
      <c r="N27" s="76">
        <f t="shared" si="1"/>
        <v>0</v>
      </c>
      <c r="O27" s="76">
        <f t="shared" si="0"/>
        <v>-27.4</v>
      </c>
      <c r="P27" s="78">
        <f t="shared" si="2"/>
        <v>46256</v>
      </c>
      <c r="Q27" s="80">
        <f t="shared" si="3"/>
        <v>46263</v>
      </c>
      <c r="R27" s="78">
        <f t="shared" si="4"/>
        <v>46277</v>
      </c>
      <c r="S27" s="78"/>
      <c r="T27" s="80"/>
      <c r="U27" s="78"/>
    </row>
    <row r="28" spans="1:21" x14ac:dyDescent="0.25">
      <c r="A28" s="182"/>
      <c r="B28" s="4">
        <v>24</v>
      </c>
      <c r="C28" s="171">
        <v>27.4</v>
      </c>
      <c r="D28" s="172"/>
      <c r="E28" s="78">
        <v>46250</v>
      </c>
      <c r="F28" s="79"/>
      <c r="G28" s="76"/>
      <c r="H28" s="79"/>
      <c r="I28" s="76"/>
      <c r="J28" s="79"/>
      <c r="K28" s="76"/>
      <c r="L28" s="79"/>
      <c r="M28" s="76"/>
      <c r="N28" s="76">
        <f t="shared" si="1"/>
        <v>0</v>
      </c>
      <c r="O28" s="76">
        <f t="shared" si="0"/>
        <v>-27.4</v>
      </c>
      <c r="P28" s="78">
        <f t="shared" si="2"/>
        <v>46257</v>
      </c>
      <c r="Q28" s="80">
        <f t="shared" si="3"/>
        <v>46264</v>
      </c>
      <c r="R28" s="78">
        <f t="shared" si="4"/>
        <v>46278</v>
      </c>
      <c r="S28" s="78"/>
      <c r="T28" s="80"/>
      <c r="U28" s="78"/>
    </row>
    <row r="29" spans="1:21" x14ac:dyDescent="0.25">
      <c r="A29" s="74" t="s">
        <v>68</v>
      </c>
      <c r="B29" s="77"/>
      <c r="C29" s="171">
        <f>SUM(C5:D28)</f>
        <v>657.59999999999968</v>
      </c>
      <c r="D29" s="172"/>
      <c r="E29" s="174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</row>
  </sheetData>
  <mergeCells count="46">
    <mergeCell ref="H1:H4"/>
    <mergeCell ref="A1:B3"/>
    <mergeCell ref="C1:D4"/>
    <mergeCell ref="E1:E4"/>
    <mergeCell ref="F1:F4"/>
    <mergeCell ref="G1:G4"/>
    <mergeCell ref="T1:T4"/>
    <mergeCell ref="I1:I4"/>
    <mergeCell ref="J1:J4"/>
    <mergeCell ref="K1:K4"/>
    <mergeCell ref="L1:L4"/>
    <mergeCell ref="M1:M4"/>
    <mergeCell ref="N1:N4"/>
    <mergeCell ref="C18:D18"/>
    <mergeCell ref="U1:U4"/>
    <mergeCell ref="A5:A28"/>
    <mergeCell ref="C5:D5"/>
    <mergeCell ref="C6:D6"/>
    <mergeCell ref="C7:D7"/>
    <mergeCell ref="C8:D8"/>
    <mergeCell ref="C9:D9"/>
    <mergeCell ref="C10:D10"/>
    <mergeCell ref="C11:D11"/>
    <mergeCell ref="C12:D12"/>
    <mergeCell ref="O1:O4"/>
    <mergeCell ref="P1:P4"/>
    <mergeCell ref="Q1:Q4"/>
    <mergeCell ref="R1:R4"/>
    <mergeCell ref="S1:S4"/>
    <mergeCell ref="C13:D13"/>
    <mergeCell ref="C14:D14"/>
    <mergeCell ref="C15:D15"/>
    <mergeCell ref="C16:D16"/>
    <mergeCell ref="C17:D17"/>
    <mergeCell ref="E29:U29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D9F9A-6D93-4219-975C-7508994FD8FD}">
  <dimension ref="A1:U29"/>
  <sheetViews>
    <sheetView zoomScale="70" zoomScaleNormal="70" workbookViewId="0">
      <selection activeCell="E10" sqref="E10"/>
    </sheetView>
  </sheetViews>
  <sheetFormatPr defaultRowHeight="15" x14ac:dyDescent="0.25"/>
  <cols>
    <col min="2" max="3" width="10.7109375" customWidth="1"/>
    <col min="4" max="4" width="11.28515625" customWidth="1"/>
    <col min="5" max="5" width="16.7109375" customWidth="1"/>
    <col min="6" max="15" width="16.85546875" customWidth="1"/>
    <col min="16" max="17" width="17.140625" customWidth="1"/>
    <col min="18" max="18" width="18.140625" customWidth="1"/>
    <col min="19" max="20" width="17.28515625" customWidth="1"/>
    <col min="21" max="21" width="18.7109375" customWidth="1"/>
  </cols>
  <sheetData>
    <row r="1" spans="1:21" ht="15" customHeight="1" x14ac:dyDescent="0.25">
      <c r="A1" s="128" t="s">
        <v>89</v>
      </c>
      <c r="B1" s="128"/>
      <c r="C1" s="174" t="s">
        <v>69</v>
      </c>
      <c r="D1" s="175"/>
      <c r="E1" s="173" t="s">
        <v>67</v>
      </c>
      <c r="F1" s="183" t="s">
        <v>70</v>
      </c>
      <c r="G1" s="187" t="s">
        <v>71</v>
      </c>
      <c r="H1" s="183" t="s">
        <v>70</v>
      </c>
      <c r="I1" s="187" t="s">
        <v>71</v>
      </c>
      <c r="J1" s="183" t="s">
        <v>70</v>
      </c>
      <c r="K1" s="187" t="s">
        <v>71</v>
      </c>
      <c r="L1" s="183" t="s">
        <v>70</v>
      </c>
      <c r="M1" s="187" t="s">
        <v>71</v>
      </c>
      <c r="N1" s="183" t="s">
        <v>68</v>
      </c>
      <c r="O1" s="183" t="s">
        <v>74</v>
      </c>
      <c r="P1" s="170" t="s">
        <v>72</v>
      </c>
      <c r="Q1" s="170" t="s">
        <v>78</v>
      </c>
      <c r="R1" s="170" t="s">
        <v>73</v>
      </c>
      <c r="S1" s="170" t="s">
        <v>76</v>
      </c>
      <c r="T1" s="170" t="s">
        <v>79</v>
      </c>
      <c r="U1" s="170" t="s">
        <v>77</v>
      </c>
    </row>
    <row r="2" spans="1:21" x14ac:dyDescent="0.25">
      <c r="A2" s="128"/>
      <c r="B2" s="128"/>
      <c r="C2" s="176"/>
      <c r="D2" s="177"/>
      <c r="E2" s="173"/>
      <c r="F2" s="184"/>
      <c r="G2" s="188"/>
      <c r="H2" s="184"/>
      <c r="I2" s="188"/>
      <c r="J2" s="184"/>
      <c r="K2" s="188"/>
      <c r="L2" s="184"/>
      <c r="M2" s="188"/>
      <c r="N2" s="184"/>
      <c r="O2" s="184"/>
      <c r="P2" s="170"/>
      <c r="Q2" s="170"/>
      <c r="R2" s="170"/>
      <c r="S2" s="170"/>
      <c r="T2" s="170"/>
      <c r="U2" s="170"/>
    </row>
    <row r="3" spans="1:21" ht="15" customHeight="1" x14ac:dyDescent="0.25">
      <c r="A3" s="128"/>
      <c r="B3" s="128"/>
      <c r="C3" s="176"/>
      <c r="D3" s="177"/>
      <c r="E3" s="173"/>
      <c r="F3" s="184"/>
      <c r="G3" s="188"/>
      <c r="H3" s="184"/>
      <c r="I3" s="188"/>
      <c r="J3" s="184"/>
      <c r="K3" s="188"/>
      <c r="L3" s="184"/>
      <c r="M3" s="188"/>
      <c r="N3" s="184"/>
      <c r="O3" s="184"/>
      <c r="P3" s="170"/>
      <c r="Q3" s="170"/>
      <c r="R3" s="170"/>
      <c r="S3" s="170"/>
      <c r="T3" s="170"/>
      <c r="U3" s="170"/>
    </row>
    <row r="4" spans="1:21" x14ac:dyDescent="0.25">
      <c r="A4" s="2" t="s">
        <v>0</v>
      </c>
      <c r="B4" s="75" t="s">
        <v>88</v>
      </c>
      <c r="C4" s="178"/>
      <c r="D4" s="179"/>
      <c r="E4" s="173"/>
      <c r="F4" s="185"/>
      <c r="G4" s="189"/>
      <c r="H4" s="185"/>
      <c r="I4" s="189"/>
      <c r="J4" s="185"/>
      <c r="K4" s="189"/>
      <c r="L4" s="185"/>
      <c r="M4" s="189"/>
      <c r="N4" s="185"/>
      <c r="O4" s="185"/>
      <c r="P4" s="170"/>
      <c r="Q4" s="170"/>
      <c r="R4" s="170"/>
      <c r="S4" s="170"/>
      <c r="T4" s="170"/>
      <c r="U4" s="170"/>
    </row>
    <row r="5" spans="1:21" x14ac:dyDescent="0.25">
      <c r="A5" s="180" t="s">
        <v>7</v>
      </c>
      <c r="B5" s="4">
        <v>1</v>
      </c>
      <c r="C5" s="171">
        <v>26.27</v>
      </c>
      <c r="D5" s="172"/>
      <c r="E5" s="78"/>
      <c r="F5" s="76"/>
      <c r="G5" s="76"/>
      <c r="H5" s="76"/>
      <c r="I5" s="76"/>
      <c r="J5" s="76"/>
      <c r="K5" s="76"/>
      <c r="L5" s="76"/>
      <c r="M5" s="76"/>
      <c r="N5" s="76">
        <f>G5+I5+K5+M5</f>
        <v>0</v>
      </c>
      <c r="O5" s="76">
        <f t="shared" ref="O5:O28" si="0">N5-C5</f>
        <v>-26.27</v>
      </c>
      <c r="P5" s="81">
        <f>E5+7</f>
        <v>7</v>
      </c>
      <c r="Q5" s="81">
        <f>E5+14</f>
        <v>14</v>
      </c>
      <c r="R5" s="81">
        <f>E5+28</f>
        <v>28</v>
      </c>
      <c r="S5" s="81"/>
      <c r="T5" s="81"/>
      <c r="U5" s="78"/>
    </row>
    <row r="6" spans="1:21" x14ac:dyDescent="0.25">
      <c r="A6" s="181"/>
      <c r="B6" s="4">
        <v>2</v>
      </c>
      <c r="C6" s="171">
        <v>26.27</v>
      </c>
      <c r="D6" s="172"/>
      <c r="E6" s="78">
        <v>46252</v>
      </c>
      <c r="F6" s="76"/>
      <c r="G6" s="76"/>
      <c r="H6" s="76"/>
      <c r="I6" s="76"/>
      <c r="J6" s="76"/>
      <c r="K6" s="76"/>
      <c r="L6" s="76"/>
      <c r="M6" s="76"/>
      <c r="N6" s="76">
        <f t="shared" ref="N6:N28" si="1">G6+I6+K6+M6</f>
        <v>0</v>
      </c>
      <c r="O6" s="76">
        <f t="shared" si="0"/>
        <v>-26.27</v>
      </c>
      <c r="P6" s="81">
        <f>E6+7</f>
        <v>46259</v>
      </c>
      <c r="Q6" s="81">
        <f>E6+14</f>
        <v>46266</v>
      </c>
      <c r="R6" s="81">
        <f>E6+28</f>
        <v>46280</v>
      </c>
      <c r="S6" s="81"/>
      <c r="T6" s="81"/>
      <c r="U6" s="78"/>
    </row>
    <row r="7" spans="1:21" x14ac:dyDescent="0.25">
      <c r="A7" s="181"/>
      <c r="B7" s="4">
        <v>3</v>
      </c>
      <c r="C7" s="171">
        <v>26.27</v>
      </c>
      <c r="D7" s="172"/>
      <c r="E7" s="78">
        <v>46250</v>
      </c>
      <c r="F7" s="76"/>
      <c r="G7" s="76"/>
      <c r="H7" s="76"/>
      <c r="I7" s="76"/>
      <c r="J7" s="76"/>
      <c r="K7" s="76"/>
      <c r="L7" s="76"/>
      <c r="M7" s="76"/>
      <c r="N7" s="76">
        <f t="shared" si="1"/>
        <v>0</v>
      </c>
      <c r="O7" s="76">
        <f t="shared" si="0"/>
        <v>-26.27</v>
      </c>
      <c r="P7" s="81">
        <f t="shared" ref="P7:P28" si="2">E7+7</f>
        <v>46257</v>
      </c>
      <c r="Q7" s="81">
        <f t="shared" ref="Q7:Q28" si="3">E7+14</f>
        <v>46264</v>
      </c>
      <c r="R7" s="81">
        <f t="shared" ref="R7:R28" si="4">E7+28</f>
        <v>46278</v>
      </c>
      <c r="S7" s="81"/>
      <c r="T7" s="81"/>
      <c r="U7" s="78" t="s">
        <v>75</v>
      </c>
    </row>
    <row r="8" spans="1:21" x14ac:dyDescent="0.25">
      <c r="A8" s="181"/>
      <c r="B8" s="4">
        <v>4</v>
      </c>
      <c r="C8" s="171">
        <v>26.27</v>
      </c>
      <c r="D8" s="172"/>
      <c r="E8" s="78"/>
      <c r="F8" s="76"/>
      <c r="G8" s="76"/>
      <c r="H8" s="76"/>
      <c r="I8" s="76"/>
      <c r="J8" s="76"/>
      <c r="K8" s="76"/>
      <c r="L8" s="76"/>
      <c r="M8" s="76"/>
      <c r="N8" s="76">
        <f t="shared" si="1"/>
        <v>0</v>
      </c>
      <c r="O8" s="76">
        <f t="shared" si="0"/>
        <v>-26.27</v>
      </c>
      <c r="P8" s="81">
        <f t="shared" si="2"/>
        <v>7</v>
      </c>
      <c r="Q8" s="81">
        <f t="shared" si="3"/>
        <v>14</v>
      </c>
      <c r="R8" s="81">
        <f t="shared" si="4"/>
        <v>28</v>
      </c>
      <c r="S8" s="81"/>
      <c r="T8" s="81"/>
      <c r="U8" s="78"/>
    </row>
    <row r="9" spans="1:21" x14ac:dyDescent="0.25">
      <c r="A9" s="181"/>
      <c r="B9" s="4">
        <v>5</v>
      </c>
      <c r="C9" s="171">
        <v>26.27</v>
      </c>
      <c r="D9" s="172"/>
      <c r="E9" s="78">
        <v>46250</v>
      </c>
      <c r="F9" s="76"/>
      <c r="G9" s="76"/>
      <c r="H9" s="76"/>
      <c r="I9" s="76"/>
      <c r="J9" s="76"/>
      <c r="K9" s="76"/>
      <c r="L9" s="76"/>
      <c r="M9" s="76"/>
      <c r="N9" s="76">
        <f t="shared" si="1"/>
        <v>0</v>
      </c>
      <c r="O9" s="76">
        <f t="shared" si="0"/>
        <v>-26.27</v>
      </c>
      <c r="P9" s="81">
        <f t="shared" si="2"/>
        <v>46257</v>
      </c>
      <c r="Q9" s="81">
        <f t="shared" si="3"/>
        <v>46264</v>
      </c>
      <c r="R9" s="81">
        <f t="shared" si="4"/>
        <v>46278</v>
      </c>
      <c r="S9" s="81"/>
      <c r="T9" s="81"/>
      <c r="U9" s="78"/>
    </row>
    <row r="10" spans="1:21" x14ac:dyDescent="0.25">
      <c r="A10" s="181"/>
      <c r="B10" s="4">
        <v>6</v>
      </c>
      <c r="C10" s="171">
        <v>26.27</v>
      </c>
      <c r="D10" s="172"/>
      <c r="E10" s="78">
        <v>46253</v>
      </c>
      <c r="F10" s="76"/>
      <c r="G10" s="76"/>
      <c r="H10" s="76"/>
      <c r="I10" s="76"/>
      <c r="J10" s="76"/>
      <c r="K10" s="76"/>
      <c r="L10" s="76"/>
      <c r="M10" s="76"/>
      <c r="N10" s="76">
        <f t="shared" si="1"/>
        <v>0</v>
      </c>
      <c r="O10" s="76">
        <f t="shared" si="0"/>
        <v>-26.27</v>
      </c>
      <c r="P10" s="81">
        <f t="shared" si="2"/>
        <v>46260</v>
      </c>
      <c r="Q10" s="81">
        <f t="shared" si="3"/>
        <v>46267</v>
      </c>
      <c r="R10" s="81">
        <f t="shared" si="4"/>
        <v>46281</v>
      </c>
      <c r="S10" s="81"/>
      <c r="T10" s="81"/>
      <c r="U10" s="78"/>
    </row>
    <row r="11" spans="1:21" x14ac:dyDescent="0.25">
      <c r="A11" s="181"/>
      <c r="B11" s="4">
        <v>7</v>
      </c>
      <c r="C11" s="171">
        <v>26.27</v>
      </c>
      <c r="D11" s="172"/>
      <c r="E11" s="78">
        <v>46251</v>
      </c>
      <c r="F11" s="79"/>
      <c r="G11" s="76"/>
      <c r="H11" s="79"/>
      <c r="I11" s="76"/>
      <c r="J11" s="79"/>
      <c r="K11" s="76"/>
      <c r="L11" s="76"/>
      <c r="M11" s="76"/>
      <c r="N11" s="76">
        <f t="shared" si="1"/>
        <v>0</v>
      </c>
      <c r="O11" s="76">
        <f t="shared" si="0"/>
        <v>-26.27</v>
      </c>
      <c r="P11" s="81">
        <f t="shared" si="2"/>
        <v>46258</v>
      </c>
      <c r="Q11" s="81">
        <f t="shared" si="3"/>
        <v>46265</v>
      </c>
      <c r="R11" s="81">
        <f t="shared" si="4"/>
        <v>46279</v>
      </c>
      <c r="S11" s="81"/>
      <c r="T11" s="81"/>
      <c r="U11" s="78"/>
    </row>
    <row r="12" spans="1:21" x14ac:dyDescent="0.25">
      <c r="A12" s="181"/>
      <c r="B12" s="4">
        <v>8</v>
      </c>
      <c r="C12" s="171">
        <v>26.27</v>
      </c>
      <c r="D12" s="172"/>
      <c r="E12" s="78">
        <v>46252</v>
      </c>
      <c r="F12" s="76"/>
      <c r="G12" s="76"/>
      <c r="H12" s="76"/>
      <c r="I12" s="76"/>
      <c r="J12" s="76"/>
      <c r="K12" s="76"/>
      <c r="L12" s="76"/>
      <c r="M12" s="76"/>
      <c r="N12" s="76">
        <f t="shared" si="1"/>
        <v>0</v>
      </c>
      <c r="O12" s="76">
        <f t="shared" si="0"/>
        <v>-26.27</v>
      </c>
      <c r="P12" s="81">
        <f t="shared" si="2"/>
        <v>46259</v>
      </c>
      <c r="Q12" s="81">
        <f t="shared" si="3"/>
        <v>46266</v>
      </c>
      <c r="R12" s="81">
        <f t="shared" si="4"/>
        <v>46280</v>
      </c>
      <c r="S12" s="81"/>
      <c r="T12" s="81"/>
      <c r="U12" s="78"/>
    </row>
    <row r="13" spans="1:21" x14ac:dyDescent="0.25">
      <c r="A13" s="181"/>
      <c r="B13" s="4">
        <v>9</v>
      </c>
      <c r="C13" s="171">
        <v>26.27</v>
      </c>
      <c r="D13" s="172"/>
      <c r="E13" s="78">
        <v>46249</v>
      </c>
      <c r="F13" s="76"/>
      <c r="G13" s="76"/>
      <c r="H13" s="76"/>
      <c r="I13" s="76"/>
      <c r="J13" s="76"/>
      <c r="K13" s="76"/>
      <c r="L13" s="76"/>
      <c r="M13" s="76"/>
      <c r="N13" s="76">
        <f t="shared" si="1"/>
        <v>0</v>
      </c>
      <c r="O13" s="76">
        <f t="shared" si="0"/>
        <v>-26.27</v>
      </c>
      <c r="P13" s="81">
        <f t="shared" si="2"/>
        <v>46256</v>
      </c>
      <c r="Q13" s="81">
        <f t="shared" si="3"/>
        <v>46263</v>
      </c>
      <c r="R13" s="81">
        <f t="shared" si="4"/>
        <v>46277</v>
      </c>
      <c r="S13" s="81"/>
      <c r="T13" s="81"/>
      <c r="U13" s="78"/>
    </row>
    <row r="14" spans="1:21" x14ac:dyDescent="0.25">
      <c r="A14" s="181"/>
      <c r="B14" s="4">
        <v>10</v>
      </c>
      <c r="C14" s="171">
        <v>26.27</v>
      </c>
      <c r="D14" s="172"/>
      <c r="E14" s="78"/>
      <c r="F14" s="76"/>
      <c r="G14" s="76"/>
      <c r="H14" s="76"/>
      <c r="I14" s="76"/>
      <c r="J14" s="76"/>
      <c r="K14" s="76"/>
      <c r="L14" s="76"/>
      <c r="M14" s="76"/>
      <c r="N14" s="76">
        <f t="shared" si="1"/>
        <v>0</v>
      </c>
      <c r="O14" s="76">
        <f t="shared" si="0"/>
        <v>-26.27</v>
      </c>
      <c r="P14" s="81">
        <f t="shared" si="2"/>
        <v>7</v>
      </c>
      <c r="Q14" s="81">
        <f t="shared" si="3"/>
        <v>14</v>
      </c>
      <c r="R14" s="81">
        <f t="shared" si="4"/>
        <v>28</v>
      </c>
      <c r="S14" s="81"/>
      <c r="T14" s="81"/>
      <c r="U14" s="78"/>
    </row>
    <row r="15" spans="1:21" x14ac:dyDescent="0.25">
      <c r="A15" s="181"/>
      <c r="B15" s="4">
        <v>11</v>
      </c>
      <c r="C15" s="171">
        <v>26.27</v>
      </c>
      <c r="D15" s="172"/>
      <c r="E15" s="78"/>
      <c r="F15" s="79"/>
      <c r="G15" s="76"/>
      <c r="H15" s="79"/>
      <c r="I15" s="76"/>
      <c r="J15" s="79"/>
      <c r="K15" s="76"/>
      <c r="L15" s="76"/>
      <c r="M15" s="76"/>
      <c r="N15" s="76">
        <f t="shared" si="1"/>
        <v>0</v>
      </c>
      <c r="O15" s="76">
        <f t="shared" si="0"/>
        <v>-26.27</v>
      </c>
      <c r="P15" s="81">
        <f t="shared" si="2"/>
        <v>7</v>
      </c>
      <c r="Q15" s="81">
        <f t="shared" si="3"/>
        <v>14</v>
      </c>
      <c r="R15" s="81">
        <f t="shared" si="4"/>
        <v>28</v>
      </c>
      <c r="S15" s="81"/>
      <c r="T15" s="81"/>
      <c r="U15" s="78"/>
    </row>
    <row r="16" spans="1:21" x14ac:dyDescent="0.25">
      <c r="A16" s="181"/>
      <c r="B16" s="4">
        <v>12</v>
      </c>
      <c r="C16" s="171">
        <v>26.27</v>
      </c>
      <c r="D16" s="172"/>
      <c r="E16" s="78">
        <v>46251</v>
      </c>
      <c r="F16" s="79"/>
      <c r="G16" s="76"/>
      <c r="H16" s="76"/>
      <c r="I16" s="76"/>
      <c r="J16" s="76"/>
      <c r="K16" s="76"/>
      <c r="L16" s="76"/>
      <c r="M16" s="76"/>
      <c r="N16" s="76">
        <f t="shared" si="1"/>
        <v>0</v>
      </c>
      <c r="O16" s="76">
        <f t="shared" si="0"/>
        <v>-26.27</v>
      </c>
      <c r="P16" s="81">
        <f>E16+7</f>
        <v>46258</v>
      </c>
      <c r="Q16" s="81">
        <f>E16+14</f>
        <v>46265</v>
      </c>
      <c r="R16" s="81">
        <f>E16+28</f>
        <v>46279</v>
      </c>
      <c r="S16" s="81"/>
      <c r="T16" s="81"/>
      <c r="U16" s="78"/>
    </row>
    <row r="17" spans="1:21" x14ac:dyDescent="0.25">
      <c r="A17" s="181"/>
      <c r="B17" s="4">
        <v>13</v>
      </c>
      <c r="C17" s="171">
        <v>26.27</v>
      </c>
      <c r="D17" s="172"/>
      <c r="E17" s="78"/>
      <c r="F17" s="76"/>
      <c r="G17" s="76"/>
      <c r="H17" s="76"/>
      <c r="I17" s="76"/>
      <c r="J17" s="76"/>
      <c r="K17" s="76"/>
      <c r="L17" s="76"/>
      <c r="M17" s="76"/>
      <c r="N17" s="76">
        <f t="shared" si="1"/>
        <v>0</v>
      </c>
      <c r="O17" s="76">
        <f t="shared" si="0"/>
        <v>-26.27</v>
      </c>
      <c r="P17" s="81">
        <f t="shared" si="2"/>
        <v>7</v>
      </c>
      <c r="Q17" s="81">
        <f t="shared" si="3"/>
        <v>14</v>
      </c>
      <c r="R17" s="81">
        <f t="shared" si="4"/>
        <v>28</v>
      </c>
      <c r="S17" s="78"/>
      <c r="T17" s="80"/>
      <c r="U17" s="78"/>
    </row>
    <row r="18" spans="1:21" x14ac:dyDescent="0.25">
      <c r="A18" s="181"/>
      <c r="B18" s="4">
        <v>14</v>
      </c>
      <c r="C18" s="171">
        <v>26.27</v>
      </c>
      <c r="D18" s="172"/>
      <c r="E18" s="78"/>
      <c r="F18" s="79"/>
      <c r="G18" s="76"/>
      <c r="H18" s="79"/>
      <c r="I18" s="76"/>
      <c r="J18" s="79"/>
      <c r="K18" s="76"/>
      <c r="L18" s="79"/>
      <c r="M18" s="76"/>
      <c r="N18" s="76">
        <f t="shared" si="1"/>
        <v>0</v>
      </c>
      <c r="O18" s="76">
        <f t="shared" si="0"/>
        <v>-26.27</v>
      </c>
      <c r="P18" s="81">
        <f t="shared" si="2"/>
        <v>7</v>
      </c>
      <c r="Q18" s="81">
        <f t="shared" si="3"/>
        <v>14</v>
      </c>
      <c r="R18" s="81">
        <f t="shared" si="4"/>
        <v>28</v>
      </c>
      <c r="S18" s="78"/>
      <c r="T18" s="80"/>
      <c r="U18" s="78"/>
    </row>
    <row r="19" spans="1:21" x14ac:dyDescent="0.25">
      <c r="A19" s="181"/>
      <c r="B19" s="4">
        <v>15</v>
      </c>
      <c r="C19" s="171">
        <v>26.27</v>
      </c>
      <c r="D19" s="172"/>
      <c r="E19" s="78"/>
      <c r="F19" s="79"/>
      <c r="G19" s="76"/>
      <c r="H19" s="79"/>
      <c r="I19" s="76"/>
      <c r="J19" s="79"/>
      <c r="K19" s="76"/>
      <c r="L19" s="79"/>
      <c r="M19" s="76"/>
      <c r="N19" s="76">
        <f t="shared" si="1"/>
        <v>0</v>
      </c>
      <c r="O19" s="76">
        <f t="shared" si="0"/>
        <v>-26.27</v>
      </c>
      <c r="P19" s="78">
        <f t="shared" si="2"/>
        <v>7</v>
      </c>
      <c r="Q19" s="80">
        <f t="shared" si="3"/>
        <v>14</v>
      </c>
      <c r="R19" s="78">
        <f t="shared" si="4"/>
        <v>28</v>
      </c>
      <c r="S19" s="78"/>
      <c r="T19" s="80"/>
      <c r="U19" s="78"/>
    </row>
    <row r="20" spans="1:21" x14ac:dyDescent="0.25">
      <c r="A20" s="181"/>
      <c r="B20" s="4">
        <v>16</v>
      </c>
      <c r="C20" s="171">
        <v>26.27</v>
      </c>
      <c r="D20" s="172"/>
      <c r="E20" s="78"/>
      <c r="F20" s="79"/>
      <c r="G20" s="76"/>
      <c r="H20" s="79"/>
      <c r="I20" s="76"/>
      <c r="J20" s="79"/>
      <c r="K20" s="76"/>
      <c r="L20" s="79"/>
      <c r="M20" s="76"/>
      <c r="N20" s="76">
        <f t="shared" si="1"/>
        <v>0</v>
      </c>
      <c r="O20" s="76">
        <f t="shared" si="0"/>
        <v>-26.27</v>
      </c>
      <c r="P20" s="78">
        <f t="shared" si="2"/>
        <v>7</v>
      </c>
      <c r="Q20" s="80">
        <f t="shared" si="3"/>
        <v>14</v>
      </c>
      <c r="R20" s="78">
        <f t="shared" si="4"/>
        <v>28</v>
      </c>
      <c r="S20" s="78"/>
      <c r="T20" s="80"/>
      <c r="U20" s="78"/>
    </row>
    <row r="21" spans="1:21" x14ac:dyDescent="0.25">
      <c r="A21" s="181"/>
      <c r="B21" s="4">
        <v>17</v>
      </c>
      <c r="C21" s="171">
        <v>26.27</v>
      </c>
      <c r="D21" s="172"/>
      <c r="E21" s="78"/>
      <c r="F21" s="79"/>
      <c r="G21" s="76"/>
      <c r="H21" s="79"/>
      <c r="I21" s="76"/>
      <c r="J21" s="79"/>
      <c r="K21" s="76"/>
      <c r="L21" s="79"/>
      <c r="M21" s="76"/>
      <c r="N21" s="76">
        <f t="shared" si="1"/>
        <v>0</v>
      </c>
      <c r="O21" s="76">
        <f t="shared" si="0"/>
        <v>-26.27</v>
      </c>
      <c r="P21" s="78">
        <f t="shared" si="2"/>
        <v>7</v>
      </c>
      <c r="Q21" s="80">
        <f t="shared" si="3"/>
        <v>14</v>
      </c>
      <c r="R21" s="78">
        <f t="shared" si="4"/>
        <v>28</v>
      </c>
      <c r="S21" s="78"/>
      <c r="T21" s="80"/>
      <c r="U21" s="78"/>
    </row>
    <row r="22" spans="1:21" x14ac:dyDescent="0.25">
      <c r="A22" s="181"/>
      <c r="B22" s="4">
        <v>18</v>
      </c>
      <c r="C22" s="171">
        <v>26.27</v>
      </c>
      <c r="D22" s="172"/>
      <c r="E22" s="78"/>
      <c r="F22" s="79"/>
      <c r="G22" s="76"/>
      <c r="H22" s="79"/>
      <c r="I22" s="76"/>
      <c r="J22" s="79"/>
      <c r="K22" s="76"/>
      <c r="L22" s="79"/>
      <c r="M22" s="76"/>
      <c r="N22" s="76">
        <f t="shared" si="1"/>
        <v>0</v>
      </c>
      <c r="O22" s="76">
        <f t="shared" si="0"/>
        <v>-26.27</v>
      </c>
      <c r="P22" s="78">
        <f t="shared" si="2"/>
        <v>7</v>
      </c>
      <c r="Q22" s="80">
        <f t="shared" si="3"/>
        <v>14</v>
      </c>
      <c r="R22" s="78">
        <f t="shared" si="4"/>
        <v>28</v>
      </c>
      <c r="S22" s="78"/>
      <c r="T22" s="80"/>
      <c r="U22" s="78"/>
    </row>
    <row r="23" spans="1:21" x14ac:dyDescent="0.25">
      <c r="A23" s="181"/>
      <c r="B23" s="4">
        <v>19</v>
      </c>
      <c r="C23" s="171">
        <v>26.27</v>
      </c>
      <c r="D23" s="172"/>
      <c r="E23" s="78"/>
      <c r="F23" s="79"/>
      <c r="G23" s="76"/>
      <c r="H23" s="79"/>
      <c r="I23" s="76"/>
      <c r="J23" s="79"/>
      <c r="K23" s="76"/>
      <c r="L23" s="79"/>
      <c r="M23" s="76"/>
      <c r="N23" s="76">
        <f t="shared" si="1"/>
        <v>0</v>
      </c>
      <c r="O23" s="76">
        <f t="shared" si="0"/>
        <v>-26.27</v>
      </c>
      <c r="P23" s="78">
        <f t="shared" si="2"/>
        <v>7</v>
      </c>
      <c r="Q23" s="80">
        <f t="shared" si="3"/>
        <v>14</v>
      </c>
      <c r="R23" s="78">
        <f t="shared" si="4"/>
        <v>28</v>
      </c>
      <c r="S23" s="78"/>
      <c r="T23" s="80"/>
      <c r="U23" s="78"/>
    </row>
    <row r="24" spans="1:21" x14ac:dyDescent="0.25">
      <c r="A24" s="181"/>
      <c r="B24" s="4">
        <v>20</v>
      </c>
      <c r="C24" s="171">
        <v>26.27</v>
      </c>
      <c r="D24" s="172"/>
      <c r="E24" s="78"/>
      <c r="F24" s="79"/>
      <c r="G24" s="76"/>
      <c r="H24" s="79"/>
      <c r="I24" s="76"/>
      <c r="J24" s="79"/>
      <c r="K24" s="76"/>
      <c r="L24" s="79"/>
      <c r="M24" s="76"/>
      <c r="N24" s="76">
        <f t="shared" si="1"/>
        <v>0</v>
      </c>
      <c r="O24" s="76">
        <f t="shared" si="0"/>
        <v>-26.27</v>
      </c>
      <c r="P24" s="78">
        <f t="shared" si="2"/>
        <v>7</v>
      </c>
      <c r="Q24" s="80">
        <f t="shared" si="3"/>
        <v>14</v>
      </c>
      <c r="R24" s="78">
        <f t="shared" si="4"/>
        <v>28</v>
      </c>
      <c r="S24" s="78"/>
      <c r="T24" s="80"/>
      <c r="U24" s="78"/>
    </row>
    <row r="25" spans="1:21" x14ac:dyDescent="0.25">
      <c r="A25" s="181"/>
      <c r="B25" s="4">
        <v>21</v>
      </c>
      <c r="C25" s="171">
        <v>26.27</v>
      </c>
      <c r="D25" s="172"/>
      <c r="E25" s="78"/>
      <c r="F25" s="79"/>
      <c r="G25" s="76"/>
      <c r="H25" s="79"/>
      <c r="I25" s="76"/>
      <c r="J25" s="79"/>
      <c r="K25" s="76"/>
      <c r="L25" s="79"/>
      <c r="M25" s="76"/>
      <c r="N25" s="76">
        <f t="shared" si="1"/>
        <v>0</v>
      </c>
      <c r="O25" s="76">
        <f t="shared" si="0"/>
        <v>-26.27</v>
      </c>
      <c r="P25" s="78">
        <f t="shared" si="2"/>
        <v>7</v>
      </c>
      <c r="Q25" s="80">
        <f t="shared" si="3"/>
        <v>14</v>
      </c>
      <c r="R25" s="78">
        <f t="shared" si="4"/>
        <v>28</v>
      </c>
      <c r="S25" s="78"/>
      <c r="T25" s="80"/>
      <c r="U25" s="78"/>
    </row>
    <row r="26" spans="1:21" x14ac:dyDescent="0.25">
      <c r="A26" s="181"/>
      <c r="B26" s="4">
        <v>22</v>
      </c>
      <c r="C26" s="171">
        <v>26.27</v>
      </c>
      <c r="D26" s="172"/>
      <c r="E26" s="78"/>
      <c r="F26" s="79"/>
      <c r="G26" s="76"/>
      <c r="H26" s="79"/>
      <c r="I26" s="76"/>
      <c r="J26" s="79"/>
      <c r="K26" s="76"/>
      <c r="L26" s="79"/>
      <c r="M26" s="76"/>
      <c r="N26" s="76">
        <f t="shared" si="1"/>
        <v>0</v>
      </c>
      <c r="O26" s="76">
        <f t="shared" si="0"/>
        <v>-26.27</v>
      </c>
      <c r="P26" s="78">
        <f t="shared" si="2"/>
        <v>7</v>
      </c>
      <c r="Q26" s="80">
        <f t="shared" si="3"/>
        <v>14</v>
      </c>
      <c r="R26" s="78">
        <f t="shared" si="4"/>
        <v>28</v>
      </c>
      <c r="S26" s="78"/>
      <c r="T26" s="80"/>
      <c r="U26" s="78"/>
    </row>
    <row r="27" spans="1:21" x14ac:dyDescent="0.25">
      <c r="A27" s="181"/>
      <c r="B27" s="4">
        <v>23</v>
      </c>
      <c r="C27" s="171">
        <v>26.27</v>
      </c>
      <c r="D27" s="172"/>
      <c r="E27" s="78"/>
      <c r="F27" s="79"/>
      <c r="G27" s="76"/>
      <c r="H27" s="79"/>
      <c r="I27" s="76"/>
      <c r="J27" s="79"/>
      <c r="K27" s="76"/>
      <c r="L27" s="79"/>
      <c r="M27" s="76"/>
      <c r="N27" s="76">
        <f t="shared" si="1"/>
        <v>0</v>
      </c>
      <c r="O27" s="76">
        <f t="shared" si="0"/>
        <v>-26.27</v>
      </c>
      <c r="P27" s="78">
        <f t="shared" si="2"/>
        <v>7</v>
      </c>
      <c r="Q27" s="80">
        <f t="shared" si="3"/>
        <v>14</v>
      </c>
      <c r="R27" s="78">
        <f t="shared" si="4"/>
        <v>28</v>
      </c>
      <c r="S27" s="78"/>
      <c r="T27" s="80"/>
      <c r="U27" s="78"/>
    </row>
    <row r="28" spans="1:21" x14ac:dyDescent="0.25">
      <c r="A28" s="182"/>
      <c r="B28" s="4">
        <v>24</v>
      </c>
      <c r="C28" s="171">
        <v>26.27</v>
      </c>
      <c r="D28" s="172"/>
      <c r="E28" s="78"/>
      <c r="F28" s="79"/>
      <c r="G28" s="76"/>
      <c r="H28" s="79"/>
      <c r="I28" s="76"/>
      <c r="J28" s="79"/>
      <c r="K28" s="76"/>
      <c r="L28" s="79"/>
      <c r="M28" s="76"/>
      <c r="N28" s="76">
        <f t="shared" si="1"/>
        <v>0</v>
      </c>
      <c r="O28" s="76">
        <f t="shared" si="0"/>
        <v>-26.27</v>
      </c>
      <c r="P28" s="78">
        <f t="shared" si="2"/>
        <v>7</v>
      </c>
      <c r="Q28" s="80">
        <f t="shared" si="3"/>
        <v>14</v>
      </c>
      <c r="R28" s="78">
        <f t="shared" si="4"/>
        <v>28</v>
      </c>
      <c r="S28" s="78"/>
      <c r="T28" s="80"/>
      <c r="U28" s="78"/>
    </row>
    <row r="29" spans="1:21" x14ac:dyDescent="0.25">
      <c r="A29" s="74" t="s">
        <v>68</v>
      </c>
      <c r="B29" s="77"/>
      <c r="C29" s="171">
        <f>SUM(C5:D28)</f>
        <v>630.47999999999979</v>
      </c>
      <c r="D29" s="172"/>
      <c r="E29" s="174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</row>
  </sheetData>
  <mergeCells count="46">
    <mergeCell ref="H1:H4"/>
    <mergeCell ref="A1:B3"/>
    <mergeCell ref="C1:D4"/>
    <mergeCell ref="E1:E4"/>
    <mergeCell ref="F1:F4"/>
    <mergeCell ref="G1:G4"/>
    <mergeCell ref="T1:T4"/>
    <mergeCell ref="I1:I4"/>
    <mergeCell ref="J1:J4"/>
    <mergeCell ref="K1:K4"/>
    <mergeCell ref="L1:L4"/>
    <mergeCell ref="M1:M4"/>
    <mergeCell ref="N1:N4"/>
    <mergeCell ref="C18:D18"/>
    <mergeCell ref="U1:U4"/>
    <mergeCell ref="A5:A28"/>
    <mergeCell ref="C5:D5"/>
    <mergeCell ref="C6:D6"/>
    <mergeCell ref="C7:D7"/>
    <mergeCell ref="C8:D8"/>
    <mergeCell ref="C9:D9"/>
    <mergeCell ref="C10:D10"/>
    <mergeCell ref="C11:D11"/>
    <mergeCell ref="C12:D12"/>
    <mergeCell ref="O1:O4"/>
    <mergeCell ref="P1:P4"/>
    <mergeCell ref="Q1:Q4"/>
    <mergeCell ref="R1:R4"/>
    <mergeCell ref="S1:S4"/>
    <mergeCell ref="C13:D13"/>
    <mergeCell ref="C14:D14"/>
    <mergeCell ref="C15:D15"/>
    <mergeCell ref="C16:D16"/>
    <mergeCell ref="C17:D17"/>
    <mergeCell ref="E29:U29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A0F8E-4B80-4D2E-9790-14926014667C}">
  <dimension ref="A1:U29"/>
  <sheetViews>
    <sheetView zoomScale="40" zoomScaleNormal="40" workbookViewId="0">
      <selection activeCell="K53" sqref="K53"/>
    </sheetView>
  </sheetViews>
  <sheetFormatPr defaultRowHeight="15" x14ac:dyDescent="0.25"/>
  <cols>
    <col min="2" max="3" width="10.7109375" customWidth="1"/>
    <col min="4" max="4" width="11.28515625" customWidth="1"/>
    <col min="5" max="5" width="16.7109375" customWidth="1"/>
    <col min="6" max="15" width="16.85546875" customWidth="1"/>
    <col min="16" max="17" width="17.140625" customWidth="1"/>
    <col min="18" max="18" width="18.140625" customWidth="1"/>
    <col min="19" max="20" width="17.28515625" customWidth="1"/>
    <col min="21" max="21" width="18.7109375" customWidth="1"/>
  </cols>
  <sheetData>
    <row r="1" spans="1:21" ht="15" customHeight="1" x14ac:dyDescent="0.25">
      <c r="A1" s="128" t="s">
        <v>89</v>
      </c>
      <c r="B1" s="128"/>
      <c r="C1" s="174" t="s">
        <v>69</v>
      </c>
      <c r="D1" s="175"/>
      <c r="E1" s="173" t="s">
        <v>67</v>
      </c>
      <c r="F1" s="183" t="s">
        <v>70</v>
      </c>
      <c r="G1" s="187" t="s">
        <v>71</v>
      </c>
      <c r="H1" s="183" t="s">
        <v>70</v>
      </c>
      <c r="I1" s="187" t="s">
        <v>71</v>
      </c>
      <c r="J1" s="183" t="s">
        <v>70</v>
      </c>
      <c r="K1" s="187" t="s">
        <v>71</v>
      </c>
      <c r="L1" s="183" t="s">
        <v>70</v>
      </c>
      <c r="M1" s="187" t="s">
        <v>71</v>
      </c>
      <c r="N1" s="183" t="s">
        <v>68</v>
      </c>
      <c r="O1" s="183" t="s">
        <v>74</v>
      </c>
      <c r="P1" s="170" t="s">
        <v>72</v>
      </c>
      <c r="Q1" s="170" t="s">
        <v>78</v>
      </c>
      <c r="R1" s="170" t="s">
        <v>73</v>
      </c>
      <c r="S1" s="170" t="s">
        <v>76</v>
      </c>
      <c r="T1" s="170" t="s">
        <v>79</v>
      </c>
      <c r="U1" s="170" t="s">
        <v>77</v>
      </c>
    </row>
    <row r="2" spans="1:21" x14ac:dyDescent="0.25">
      <c r="A2" s="128"/>
      <c r="B2" s="128"/>
      <c r="C2" s="176"/>
      <c r="D2" s="177"/>
      <c r="E2" s="173"/>
      <c r="F2" s="184"/>
      <c r="G2" s="188"/>
      <c r="H2" s="184"/>
      <c r="I2" s="188"/>
      <c r="J2" s="184"/>
      <c r="K2" s="188"/>
      <c r="L2" s="184"/>
      <c r="M2" s="188"/>
      <c r="N2" s="184"/>
      <c r="O2" s="184"/>
      <c r="P2" s="170"/>
      <c r="Q2" s="170"/>
      <c r="R2" s="170"/>
      <c r="S2" s="170"/>
      <c r="T2" s="170"/>
      <c r="U2" s="170"/>
    </row>
    <row r="3" spans="1:21" ht="15" customHeight="1" x14ac:dyDescent="0.25">
      <c r="A3" s="128"/>
      <c r="B3" s="128"/>
      <c r="C3" s="176"/>
      <c r="D3" s="177"/>
      <c r="E3" s="173"/>
      <c r="F3" s="184"/>
      <c r="G3" s="188"/>
      <c r="H3" s="184"/>
      <c r="I3" s="188"/>
      <c r="J3" s="184"/>
      <c r="K3" s="188"/>
      <c r="L3" s="184"/>
      <c r="M3" s="188"/>
      <c r="N3" s="184"/>
      <c r="O3" s="184"/>
      <c r="P3" s="170"/>
      <c r="Q3" s="170"/>
      <c r="R3" s="170"/>
      <c r="S3" s="170"/>
      <c r="T3" s="170"/>
      <c r="U3" s="170"/>
    </row>
    <row r="4" spans="1:21" x14ac:dyDescent="0.25">
      <c r="A4" s="2" t="s">
        <v>0</v>
      </c>
      <c r="B4" s="75" t="s">
        <v>88</v>
      </c>
      <c r="C4" s="178"/>
      <c r="D4" s="179"/>
      <c r="E4" s="173"/>
      <c r="F4" s="185"/>
      <c r="G4" s="189"/>
      <c r="H4" s="185"/>
      <c r="I4" s="189"/>
      <c r="J4" s="185"/>
      <c r="K4" s="189"/>
      <c r="L4" s="185"/>
      <c r="M4" s="189"/>
      <c r="N4" s="185"/>
      <c r="O4" s="185"/>
      <c r="P4" s="170"/>
      <c r="Q4" s="170"/>
      <c r="R4" s="170"/>
      <c r="S4" s="170"/>
      <c r="T4" s="170"/>
      <c r="U4" s="170"/>
    </row>
    <row r="5" spans="1:21" x14ac:dyDescent="0.25">
      <c r="A5" s="180" t="s">
        <v>82</v>
      </c>
      <c r="B5" s="4">
        <v>1</v>
      </c>
      <c r="C5" s="171">
        <v>27.4</v>
      </c>
      <c r="D5" s="172"/>
      <c r="E5" s="78">
        <v>46241</v>
      </c>
      <c r="F5" s="114" t="s">
        <v>622</v>
      </c>
      <c r="G5" s="76">
        <v>9.5</v>
      </c>
      <c r="H5" s="114" t="s">
        <v>623</v>
      </c>
      <c r="I5" s="76">
        <v>9.5</v>
      </c>
      <c r="J5" s="114" t="s">
        <v>624</v>
      </c>
      <c r="K5" s="76">
        <v>9</v>
      </c>
      <c r="L5" s="76"/>
      <c r="M5" s="76"/>
      <c r="N5" s="76">
        <f>G5+I5+K5+M5</f>
        <v>28</v>
      </c>
      <c r="O5" s="76">
        <f t="shared" ref="O5:O28" si="0">N5-C5</f>
        <v>0.60000000000000142</v>
      </c>
      <c r="P5" s="82">
        <f>E5+7</f>
        <v>46248</v>
      </c>
      <c r="Q5" s="81">
        <f>E5+14</f>
        <v>46255</v>
      </c>
      <c r="R5" s="81">
        <f>E5+28</f>
        <v>46269</v>
      </c>
      <c r="S5" s="82" t="s">
        <v>91</v>
      </c>
      <c r="T5" s="81"/>
      <c r="U5" s="78"/>
    </row>
    <row r="6" spans="1:21" x14ac:dyDescent="0.25">
      <c r="A6" s="181"/>
      <c r="B6" s="4">
        <v>2</v>
      </c>
      <c r="C6" s="171">
        <v>27.4</v>
      </c>
      <c r="D6" s="172"/>
      <c r="E6" s="78">
        <v>46242</v>
      </c>
      <c r="F6" s="114" t="s">
        <v>614</v>
      </c>
      <c r="G6" s="76">
        <v>9</v>
      </c>
      <c r="H6" s="114" t="s">
        <v>615</v>
      </c>
      <c r="I6" s="76">
        <v>9.5</v>
      </c>
      <c r="J6" s="114" t="s">
        <v>613</v>
      </c>
      <c r="K6" s="76">
        <v>9.5</v>
      </c>
      <c r="L6" s="76"/>
      <c r="M6" s="76"/>
      <c r="N6" s="76">
        <f t="shared" ref="N6:N28" si="1">G6+I6+K6+M6</f>
        <v>28</v>
      </c>
      <c r="O6" s="76">
        <f t="shared" si="0"/>
        <v>0.60000000000000142</v>
      </c>
      <c r="P6" s="81">
        <f t="shared" ref="P6:P28" si="2">E6+7</f>
        <v>46249</v>
      </c>
      <c r="Q6" s="81">
        <f t="shared" ref="Q6:Q28" si="3">E6+14</f>
        <v>46256</v>
      </c>
      <c r="R6" s="81">
        <f t="shared" ref="R6:R28" si="4">E6+28</f>
        <v>46270</v>
      </c>
      <c r="S6" s="81"/>
      <c r="T6" s="81"/>
      <c r="U6" s="78"/>
    </row>
    <row r="7" spans="1:21" x14ac:dyDescent="0.25">
      <c r="A7" s="181"/>
      <c r="B7" s="4">
        <v>3</v>
      </c>
      <c r="C7" s="171">
        <v>27.4</v>
      </c>
      <c r="D7" s="172"/>
      <c r="E7" s="78">
        <v>46238</v>
      </c>
      <c r="F7" s="114" t="s">
        <v>515</v>
      </c>
      <c r="G7" s="76">
        <v>9</v>
      </c>
      <c r="H7" s="114" t="s">
        <v>516</v>
      </c>
      <c r="I7" s="76">
        <v>9.5</v>
      </c>
      <c r="J7" s="114" t="s">
        <v>517</v>
      </c>
      <c r="K7" s="76">
        <v>9.5</v>
      </c>
      <c r="L7" s="76"/>
      <c r="M7" s="76"/>
      <c r="N7" s="76">
        <f t="shared" si="1"/>
        <v>28</v>
      </c>
      <c r="O7" s="76">
        <f t="shared" si="0"/>
        <v>0.60000000000000142</v>
      </c>
      <c r="P7" s="82">
        <f t="shared" si="2"/>
        <v>46245</v>
      </c>
      <c r="Q7" s="81">
        <f t="shared" si="3"/>
        <v>46252</v>
      </c>
      <c r="R7" s="81">
        <f t="shared" si="4"/>
        <v>46266</v>
      </c>
      <c r="S7" s="82" t="s">
        <v>91</v>
      </c>
      <c r="T7" s="81"/>
      <c r="U7" s="78" t="s">
        <v>75</v>
      </c>
    </row>
    <row r="8" spans="1:21" x14ac:dyDescent="0.25">
      <c r="A8" s="181"/>
      <c r="B8" s="4">
        <v>4</v>
      </c>
      <c r="C8" s="171">
        <v>27.4</v>
      </c>
      <c r="D8" s="172"/>
      <c r="E8" s="78">
        <v>46241</v>
      </c>
      <c r="F8" s="114" t="s">
        <v>625</v>
      </c>
      <c r="G8" s="76">
        <v>9</v>
      </c>
      <c r="H8" s="114" t="s">
        <v>626</v>
      </c>
      <c r="I8" s="76">
        <v>9.5</v>
      </c>
      <c r="J8" s="114" t="s">
        <v>627</v>
      </c>
      <c r="K8" s="76">
        <v>9.5</v>
      </c>
      <c r="L8" s="76"/>
      <c r="M8" s="76"/>
      <c r="N8" s="76">
        <f t="shared" si="1"/>
        <v>28</v>
      </c>
      <c r="O8" s="76">
        <f t="shared" si="0"/>
        <v>0.60000000000000142</v>
      </c>
      <c r="P8" s="82">
        <f t="shared" si="2"/>
        <v>46248</v>
      </c>
      <c r="Q8" s="81">
        <f t="shared" si="3"/>
        <v>46255</v>
      </c>
      <c r="R8" s="81">
        <f t="shared" si="4"/>
        <v>46269</v>
      </c>
      <c r="S8" s="82" t="s">
        <v>91</v>
      </c>
      <c r="T8" s="81"/>
      <c r="U8" s="78"/>
    </row>
    <row r="9" spans="1:21" x14ac:dyDescent="0.25">
      <c r="A9" s="181"/>
      <c r="B9" s="4">
        <v>5</v>
      </c>
      <c r="C9" s="171">
        <v>27.4</v>
      </c>
      <c r="D9" s="172"/>
      <c r="E9" s="78">
        <v>46238</v>
      </c>
      <c r="F9" s="114" t="s">
        <v>518</v>
      </c>
      <c r="G9" s="76">
        <v>9</v>
      </c>
      <c r="H9" s="114" t="s">
        <v>519</v>
      </c>
      <c r="I9" s="76">
        <v>9.5</v>
      </c>
      <c r="J9" s="114" t="s">
        <v>520</v>
      </c>
      <c r="K9" s="76">
        <v>9.5</v>
      </c>
      <c r="L9" s="76"/>
      <c r="M9" s="76"/>
      <c r="N9" s="76">
        <f t="shared" si="1"/>
        <v>28</v>
      </c>
      <c r="O9" s="76">
        <f t="shared" si="0"/>
        <v>0.60000000000000142</v>
      </c>
      <c r="P9" s="82">
        <f t="shared" si="2"/>
        <v>46245</v>
      </c>
      <c r="Q9" s="81">
        <f t="shared" si="3"/>
        <v>46252</v>
      </c>
      <c r="R9" s="81">
        <f t="shared" si="4"/>
        <v>46266</v>
      </c>
      <c r="S9" s="82" t="s">
        <v>91</v>
      </c>
      <c r="T9" s="81"/>
      <c r="U9" s="78"/>
    </row>
    <row r="10" spans="1:21" x14ac:dyDescent="0.25">
      <c r="A10" s="181"/>
      <c r="B10" s="4">
        <v>6</v>
      </c>
      <c r="C10" s="171">
        <v>27.4</v>
      </c>
      <c r="D10" s="172"/>
      <c r="E10" s="78">
        <v>46241</v>
      </c>
      <c r="F10" s="114" t="s">
        <v>628</v>
      </c>
      <c r="G10" s="76">
        <v>9</v>
      </c>
      <c r="H10" s="114" t="s">
        <v>629</v>
      </c>
      <c r="I10" s="76">
        <v>9.5</v>
      </c>
      <c r="J10" s="114" t="s">
        <v>630</v>
      </c>
      <c r="K10" s="76">
        <v>9.5</v>
      </c>
      <c r="L10" s="76"/>
      <c r="M10" s="76"/>
      <c r="N10" s="76">
        <f t="shared" si="1"/>
        <v>28</v>
      </c>
      <c r="O10" s="76">
        <f t="shared" si="0"/>
        <v>0.60000000000000142</v>
      </c>
      <c r="P10" s="82">
        <f t="shared" si="2"/>
        <v>46248</v>
      </c>
      <c r="Q10" s="81">
        <f t="shared" si="3"/>
        <v>46255</v>
      </c>
      <c r="R10" s="81">
        <f t="shared" si="4"/>
        <v>46269</v>
      </c>
      <c r="S10" s="82" t="s">
        <v>91</v>
      </c>
      <c r="T10" s="81"/>
      <c r="U10" s="78"/>
    </row>
    <row r="11" spans="1:21" x14ac:dyDescent="0.25">
      <c r="A11" s="181"/>
      <c r="B11" s="4">
        <v>7</v>
      </c>
      <c r="C11" s="171">
        <v>27.4</v>
      </c>
      <c r="D11" s="172"/>
      <c r="E11" s="78">
        <v>46238</v>
      </c>
      <c r="F11" s="115" t="s">
        <v>521</v>
      </c>
      <c r="G11" s="76">
        <v>9</v>
      </c>
      <c r="H11" s="115" t="s">
        <v>522</v>
      </c>
      <c r="I11" s="76">
        <v>9.5</v>
      </c>
      <c r="J11" s="115" t="s">
        <v>523</v>
      </c>
      <c r="K11" s="76">
        <v>9.5</v>
      </c>
      <c r="L11" s="76"/>
      <c r="M11" s="76"/>
      <c r="N11" s="76">
        <f t="shared" si="1"/>
        <v>28</v>
      </c>
      <c r="O11" s="76">
        <f t="shared" si="0"/>
        <v>0.60000000000000142</v>
      </c>
      <c r="P11" s="82">
        <f t="shared" si="2"/>
        <v>46245</v>
      </c>
      <c r="Q11" s="81">
        <f t="shared" si="3"/>
        <v>46252</v>
      </c>
      <c r="R11" s="81">
        <f t="shared" si="4"/>
        <v>46266</v>
      </c>
      <c r="S11" s="82" t="s">
        <v>91</v>
      </c>
      <c r="T11" s="81"/>
      <c r="U11" s="78"/>
    </row>
    <row r="12" spans="1:21" x14ac:dyDescent="0.25">
      <c r="A12" s="181"/>
      <c r="B12" s="4">
        <v>8</v>
      </c>
      <c r="C12" s="171">
        <v>27.4</v>
      </c>
      <c r="D12" s="172"/>
      <c r="E12" s="78">
        <v>46239</v>
      </c>
      <c r="F12" s="114" t="s">
        <v>506</v>
      </c>
      <c r="G12" s="76">
        <v>9</v>
      </c>
      <c r="H12" s="114" t="s">
        <v>507</v>
      </c>
      <c r="I12" s="76">
        <v>9.5</v>
      </c>
      <c r="J12" s="114" t="s">
        <v>508</v>
      </c>
      <c r="K12" s="76">
        <v>9.5</v>
      </c>
      <c r="L12" s="76"/>
      <c r="M12" s="76"/>
      <c r="N12" s="76">
        <f t="shared" si="1"/>
        <v>28</v>
      </c>
      <c r="O12" s="76">
        <f t="shared" si="0"/>
        <v>0.60000000000000142</v>
      </c>
      <c r="P12" s="82">
        <f t="shared" si="2"/>
        <v>46246</v>
      </c>
      <c r="Q12" s="81">
        <f t="shared" si="3"/>
        <v>46253</v>
      </c>
      <c r="R12" s="81">
        <f t="shared" si="4"/>
        <v>46267</v>
      </c>
      <c r="S12" s="82" t="s">
        <v>91</v>
      </c>
      <c r="T12" s="81"/>
      <c r="U12" s="78"/>
    </row>
    <row r="13" spans="1:21" x14ac:dyDescent="0.25">
      <c r="A13" s="181"/>
      <c r="B13" s="4">
        <v>9</v>
      </c>
      <c r="C13" s="171">
        <v>27.4</v>
      </c>
      <c r="D13" s="172"/>
      <c r="E13" s="78">
        <v>46237</v>
      </c>
      <c r="F13" s="114" t="s">
        <v>716</v>
      </c>
      <c r="G13" s="76">
        <v>9</v>
      </c>
      <c r="H13" s="114" t="s">
        <v>717</v>
      </c>
      <c r="I13" s="76">
        <v>9.5</v>
      </c>
      <c r="J13" s="114" t="s">
        <v>718</v>
      </c>
      <c r="K13" s="76">
        <v>9.5</v>
      </c>
      <c r="L13" s="76"/>
      <c r="M13" s="76"/>
      <c r="N13" s="76">
        <f t="shared" si="1"/>
        <v>28</v>
      </c>
      <c r="O13" s="76">
        <f t="shared" si="0"/>
        <v>0.60000000000000142</v>
      </c>
      <c r="P13" s="82">
        <f t="shared" si="2"/>
        <v>46244</v>
      </c>
      <c r="Q13" s="81">
        <f t="shared" si="3"/>
        <v>46251</v>
      </c>
      <c r="R13" s="81">
        <f t="shared" si="4"/>
        <v>46265</v>
      </c>
      <c r="S13" s="82" t="s">
        <v>91</v>
      </c>
      <c r="T13" s="81"/>
      <c r="U13" s="78"/>
    </row>
    <row r="14" spans="1:21" x14ac:dyDescent="0.25">
      <c r="A14" s="181"/>
      <c r="B14" s="4">
        <v>10</v>
      </c>
      <c r="C14" s="171">
        <v>27.4</v>
      </c>
      <c r="D14" s="172"/>
      <c r="E14" s="78">
        <v>46239</v>
      </c>
      <c r="F14" s="114" t="s">
        <v>509</v>
      </c>
      <c r="G14" s="76">
        <v>9</v>
      </c>
      <c r="H14" s="114" t="s">
        <v>510</v>
      </c>
      <c r="I14" s="76">
        <v>9.5</v>
      </c>
      <c r="J14" s="114" t="s">
        <v>511</v>
      </c>
      <c r="K14" s="76">
        <v>9.5</v>
      </c>
      <c r="L14" s="76"/>
      <c r="M14" s="76"/>
      <c r="N14" s="76">
        <f t="shared" si="1"/>
        <v>28</v>
      </c>
      <c r="O14" s="76">
        <f t="shared" si="0"/>
        <v>0.60000000000000142</v>
      </c>
      <c r="P14" s="82">
        <f t="shared" si="2"/>
        <v>46246</v>
      </c>
      <c r="Q14" s="81">
        <f t="shared" si="3"/>
        <v>46253</v>
      </c>
      <c r="R14" s="81">
        <f t="shared" si="4"/>
        <v>46267</v>
      </c>
      <c r="S14" s="82" t="s">
        <v>91</v>
      </c>
      <c r="T14" s="81"/>
      <c r="U14" s="78"/>
    </row>
    <row r="15" spans="1:21" x14ac:dyDescent="0.25">
      <c r="A15" s="181"/>
      <c r="B15" s="4">
        <v>11</v>
      </c>
      <c r="C15" s="171">
        <v>27.4</v>
      </c>
      <c r="D15" s="172"/>
      <c r="E15" s="78">
        <v>46238</v>
      </c>
      <c r="F15" s="115" t="s">
        <v>524</v>
      </c>
      <c r="G15" s="76">
        <v>9.5</v>
      </c>
      <c r="H15" s="115" t="s">
        <v>525</v>
      </c>
      <c r="I15" s="76">
        <v>9.5</v>
      </c>
      <c r="J15" s="115" t="s">
        <v>526</v>
      </c>
      <c r="K15" s="76">
        <v>9</v>
      </c>
      <c r="L15" s="76"/>
      <c r="M15" s="76"/>
      <c r="N15" s="76">
        <f t="shared" si="1"/>
        <v>28</v>
      </c>
      <c r="O15" s="76">
        <f t="shared" si="0"/>
        <v>0.60000000000000142</v>
      </c>
      <c r="P15" s="82">
        <f t="shared" si="2"/>
        <v>46245</v>
      </c>
      <c r="Q15" s="81">
        <f t="shared" si="3"/>
        <v>46252</v>
      </c>
      <c r="R15" s="81">
        <f t="shared" si="4"/>
        <v>46266</v>
      </c>
      <c r="S15" s="82" t="s">
        <v>91</v>
      </c>
      <c r="T15" s="81"/>
      <c r="U15" s="78"/>
    </row>
    <row r="16" spans="1:21" x14ac:dyDescent="0.25">
      <c r="A16" s="181"/>
      <c r="B16" s="4">
        <v>12</v>
      </c>
      <c r="C16" s="171">
        <v>27.4</v>
      </c>
      <c r="D16" s="172"/>
      <c r="E16" s="78">
        <v>46239</v>
      </c>
      <c r="F16" s="115" t="s">
        <v>503</v>
      </c>
      <c r="G16" s="76">
        <v>9.5</v>
      </c>
      <c r="H16" s="114" t="s">
        <v>504</v>
      </c>
      <c r="I16" s="76">
        <v>9.5</v>
      </c>
      <c r="J16" s="114" t="s">
        <v>505</v>
      </c>
      <c r="K16" s="76">
        <v>9</v>
      </c>
      <c r="L16" s="76"/>
      <c r="M16" s="76"/>
      <c r="N16" s="76">
        <f t="shared" si="1"/>
        <v>28</v>
      </c>
      <c r="O16" s="76">
        <f t="shared" si="0"/>
        <v>0.60000000000000142</v>
      </c>
      <c r="P16" s="82">
        <f t="shared" si="2"/>
        <v>46246</v>
      </c>
      <c r="Q16" s="81">
        <f t="shared" si="3"/>
        <v>46253</v>
      </c>
      <c r="R16" s="81">
        <f t="shared" si="4"/>
        <v>46267</v>
      </c>
      <c r="S16" s="82" t="s">
        <v>91</v>
      </c>
      <c r="T16" s="81"/>
      <c r="U16" s="78"/>
    </row>
    <row r="17" spans="1:21" x14ac:dyDescent="0.25">
      <c r="A17" s="181"/>
      <c r="B17" s="4">
        <v>13</v>
      </c>
      <c r="C17" s="171">
        <v>27.4</v>
      </c>
      <c r="D17" s="172"/>
      <c r="E17" s="78">
        <v>46239</v>
      </c>
      <c r="F17" s="114" t="s">
        <v>512</v>
      </c>
      <c r="G17" s="76">
        <v>9</v>
      </c>
      <c r="H17" s="114" t="s">
        <v>513</v>
      </c>
      <c r="I17" s="76">
        <v>9.5</v>
      </c>
      <c r="J17" s="114" t="s">
        <v>514</v>
      </c>
      <c r="K17" s="76">
        <v>9.5</v>
      </c>
      <c r="L17" s="76"/>
      <c r="M17" s="76"/>
      <c r="N17" s="76">
        <f t="shared" si="1"/>
        <v>28</v>
      </c>
      <c r="O17" s="76">
        <f t="shared" si="0"/>
        <v>0.60000000000000142</v>
      </c>
      <c r="P17" s="82">
        <f t="shared" si="2"/>
        <v>46246</v>
      </c>
      <c r="Q17" s="81">
        <f t="shared" si="3"/>
        <v>46253</v>
      </c>
      <c r="R17" s="81">
        <f t="shared" si="4"/>
        <v>46267</v>
      </c>
      <c r="S17" s="82" t="s">
        <v>91</v>
      </c>
      <c r="T17" s="80"/>
      <c r="U17" s="78"/>
    </row>
    <row r="18" spans="1:21" x14ac:dyDescent="0.25">
      <c r="A18" s="181"/>
      <c r="B18" s="4">
        <v>14</v>
      </c>
      <c r="C18" s="171">
        <v>27.4</v>
      </c>
      <c r="D18" s="172"/>
      <c r="E18" s="78">
        <v>46240</v>
      </c>
      <c r="F18" s="115" t="s">
        <v>631</v>
      </c>
      <c r="G18" s="76">
        <v>9</v>
      </c>
      <c r="H18" s="115" t="s">
        <v>632</v>
      </c>
      <c r="I18" s="76">
        <v>9.5</v>
      </c>
      <c r="J18" s="115" t="s">
        <v>633</v>
      </c>
      <c r="K18" s="76">
        <v>9</v>
      </c>
      <c r="L18" s="79"/>
      <c r="M18" s="76"/>
      <c r="N18" s="76">
        <f t="shared" si="1"/>
        <v>27.5</v>
      </c>
      <c r="O18" s="76">
        <f t="shared" si="0"/>
        <v>0.10000000000000142</v>
      </c>
      <c r="P18" s="82">
        <f t="shared" si="2"/>
        <v>46247</v>
      </c>
      <c r="Q18" s="81">
        <f t="shared" si="3"/>
        <v>46254</v>
      </c>
      <c r="R18" s="81">
        <f t="shared" si="4"/>
        <v>46268</v>
      </c>
      <c r="S18" s="82" t="s">
        <v>91</v>
      </c>
      <c r="T18" s="80"/>
      <c r="U18" s="78"/>
    </row>
    <row r="19" spans="1:21" x14ac:dyDescent="0.25">
      <c r="A19" s="181"/>
      <c r="B19" s="4">
        <v>15</v>
      </c>
      <c r="C19" s="171">
        <v>27.4</v>
      </c>
      <c r="D19" s="172"/>
      <c r="E19" s="78">
        <v>46242</v>
      </c>
      <c r="F19" s="115" t="s">
        <v>616</v>
      </c>
      <c r="G19" s="76">
        <v>9</v>
      </c>
      <c r="H19" s="115" t="s">
        <v>617</v>
      </c>
      <c r="I19" s="76">
        <v>9.5</v>
      </c>
      <c r="J19" s="115" t="s">
        <v>618</v>
      </c>
      <c r="K19" s="76">
        <v>9.5</v>
      </c>
      <c r="L19" s="79"/>
      <c r="M19" s="76"/>
      <c r="N19" s="76">
        <f t="shared" si="1"/>
        <v>28</v>
      </c>
      <c r="O19" s="76">
        <f t="shared" si="0"/>
        <v>0.60000000000000142</v>
      </c>
      <c r="P19" s="78">
        <f t="shared" si="2"/>
        <v>46249</v>
      </c>
      <c r="Q19" s="80">
        <f t="shared" si="3"/>
        <v>46256</v>
      </c>
      <c r="R19" s="78">
        <f t="shared" si="4"/>
        <v>46270</v>
      </c>
      <c r="S19" s="78"/>
      <c r="T19" s="80"/>
      <c r="U19" s="78"/>
    </row>
    <row r="20" spans="1:21" x14ac:dyDescent="0.25">
      <c r="A20" s="181"/>
      <c r="B20" s="4">
        <v>16</v>
      </c>
      <c r="C20" s="171">
        <v>27.4</v>
      </c>
      <c r="D20" s="172"/>
      <c r="E20" s="78">
        <v>46241</v>
      </c>
      <c r="F20" s="115" t="s">
        <v>619</v>
      </c>
      <c r="G20" s="76">
        <v>9.5</v>
      </c>
      <c r="H20" s="115" t="s">
        <v>620</v>
      </c>
      <c r="I20" s="76">
        <v>9.5</v>
      </c>
      <c r="J20" s="115" t="s">
        <v>621</v>
      </c>
      <c r="K20" s="76">
        <v>9</v>
      </c>
      <c r="L20" s="79"/>
      <c r="M20" s="76"/>
      <c r="N20" s="76">
        <f t="shared" si="1"/>
        <v>28</v>
      </c>
      <c r="O20" s="76">
        <f t="shared" si="0"/>
        <v>0.60000000000000142</v>
      </c>
      <c r="P20" s="82">
        <f t="shared" si="2"/>
        <v>46248</v>
      </c>
      <c r="Q20" s="80">
        <f t="shared" si="3"/>
        <v>46255</v>
      </c>
      <c r="R20" s="78">
        <f t="shared" si="4"/>
        <v>46269</v>
      </c>
      <c r="S20" s="82" t="s">
        <v>91</v>
      </c>
      <c r="T20" s="80"/>
      <c r="U20" s="78"/>
    </row>
    <row r="21" spans="1:21" x14ac:dyDescent="0.25">
      <c r="A21" s="181"/>
      <c r="B21" s="4">
        <v>17</v>
      </c>
      <c r="C21" s="171">
        <v>27.4</v>
      </c>
      <c r="D21" s="172"/>
      <c r="E21" s="78">
        <v>46243</v>
      </c>
      <c r="F21" s="115" t="s">
        <v>596</v>
      </c>
      <c r="G21" s="76">
        <v>9</v>
      </c>
      <c r="H21" s="115" t="s">
        <v>597</v>
      </c>
      <c r="I21" s="76">
        <v>9.5</v>
      </c>
      <c r="J21" s="115" t="s">
        <v>598</v>
      </c>
      <c r="K21" s="76">
        <v>9.5</v>
      </c>
      <c r="L21" s="79"/>
      <c r="M21" s="76"/>
      <c r="N21" s="76">
        <f t="shared" si="1"/>
        <v>28</v>
      </c>
      <c r="O21" s="76">
        <f t="shared" si="0"/>
        <v>0.60000000000000142</v>
      </c>
      <c r="P21" s="78">
        <f t="shared" si="2"/>
        <v>46250</v>
      </c>
      <c r="Q21" s="80">
        <f t="shared" si="3"/>
        <v>46257</v>
      </c>
      <c r="R21" s="78">
        <f t="shared" si="4"/>
        <v>46271</v>
      </c>
      <c r="S21" s="78"/>
      <c r="T21" s="80"/>
      <c r="U21" s="78"/>
    </row>
    <row r="22" spans="1:21" x14ac:dyDescent="0.25">
      <c r="A22" s="181"/>
      <c r="B22" s="4">
        <v>18</v>
      </c>
      <c r="C22" s="171">
        <v>27.4</v>
      </c>
      <c r="D22" s="172"/>
      <c r="E22" s="78">
        <v>46242</v>
      </c>
      <c r="F22" s="115" t="s">
        <v>607</v>
      </c>
      <c r="G22" s="76">
        <v>9.5</v>
      </c>
      <c r="H22" s="115" t="s">
        <v>608</v>
      </c>
      <c r="I22" s="76">
        <v>9.5</v>
      </c>
      <c r="J22" s="115" t="s">
        <v>609</v>
      </c>
      <c r="K22" s="76">
        <v>9</v>
      </c>
      <c r="L22" s="79"/>
      <c r="M22" s="76"/>
      <c r="N22" s="76">
        <f t="shared" si="1"/>
        <v>28</v>
      </c>
      <c r="O22" s="76">
        <f t="shared" si="0"/>
        <v>0.60000000000000142</v>
      </c>
      <c r="P22" s="78">
        <f t="shared" si="2"/>
        <v>46249</v>
      </c>
      <c r="Q22" s="80">
        <f t="shared" si="3"/>
        <v>46256</v>
      </c>
      <c r="R22" s="78">
        <f t="shared" si="4"/>
        <v>46270</v>
      </c>
      <c r="S22" s="78"/>
      <c r="T22" s="80"/>
      <c r="U22" s="78"/>
    </row>
    <row r="23" spans="1:21" x14ac:dyDescent="0.25">
      <c r="A23" s="181"/>
      <c r="B23" s="4">
        <v>19</v>
      </c>
      <c r="C23" s="171">
        <v>27.4</v>
      </c>
      <c r="D23" s="172"/>
      <c r="E23" s="78">
        <v>46243</v>
      </c>
      <c r="F23" s="115" t="s">
        <v>604</v>
      </c>
      <c r="G23" s="76">
        <v>9</v>
      </c>
      <c r="H23" s="115" t="s">
        <v>605</v>
      </c>
      <c r="I23" s="76">
        <v>9.5</v>
      </c>
      <c r="J23" s="115" t="s">
        <v>606</v>
      </c>
      <c r="K23" s="76">
        <v>9.5</v>
      </c>
      <c r="L23" s="79"/>
      <c r="M23" s="76"/>
      <c r="N23" s="76">
        <f t="shared" si="1"/>
        <v>28</v>
      </c>
      <c r="O23" s="76">
        <f t="shared" si="0"/>
        <v>0.60000000000000142</v>
      </c>
      <c r="P23" s="78">
        <f t="shared" si="2"/>
        <v>46250</v>
      </c>
      <c r="Q23" s="80">
        <f t="shared" si="3"/>
        <v>46257</v>
      </c>
      <c r="R23" s="78">
        <f t="shared" si="4"/>
        <v>46271</v>
      </c>
      <c r="S23" s="78"/>
      <c r="T23" s="80"/>
      <c r="U23" s="78"/>
    </row>
    <row r="24" spans="1:21" x14ac:dyDescent="0.25">
      <c r="A24" s="181"/>
      <c r="B24" s="4">
        <v>20</v>
      </c>
      <c r="C24" s="171">
        <v>27.4</v>
      </c>
      <c r="D24" s="172"/>
      <c r="E24" s="78">
        <v>46245</v>
      </c>
      <c r="F24" s="115" t="s">
        <v>713</v>
      </c>
      <c r="G24" s="76">
        <v>9</v>
      </c>
      <c r="H24" s="115" t="s">
        <v>714</v>
      </c>
      <c r="I24" s="76">
        <v>9.5</v>
      </c>
      <c r="J24" s="115" t="s">
        <v>715</v>
      </c>
      <c r="K24" s="76">
        <v>9.5</v>
      </c>
      <c r="L24" s="79"/>
      <c r="M24" s="76"/>
      <c r="N24" s="76">
        <f t="shared" si="1"/>
        <v>28</v>
      </c>
      <c r="O24" s="76">
        <f t="shared" si="0"/>
        <v>0.60000000000000142</v>
      </c>
      <c r="P24" s="78">
        <f t="shared" si="2"/>
        <v>46252</v>
      </c>
      <c r="Q24" s="80">
        <f t="shared" si="3"/>
        <v>46259</v>
      </c>
      <c r="R24" s="78">
        <f t="shared" si="4"/>
        <v>46273</v>
      </c>
      <c r="S24" s="78"/>
      <c r="T24" s="80"/>
      <c r="U24" s="78"/>
    </row>
    <row r="25" spans="1:21" x14ac:dyDescent="0.25">
      <c r="A25" s="181"/>
      <c r="B25" s="4">
        <v>21</v>
      </c>
      <c r="C25" s="171">
        <v>27.4</v>
      </c>
      <c r="D25" s="172"/>
      <c r="E25" s="78">
        <v>46244</v>
      </c>
      <c r="F25" s="115" t="s">
        <v>710</v>
      </c>
      <c r="G25" s="76">
        <v>9.5</v>
      </c>
      <c r="H25" s="115" t="s">
        <v>711</v>
      </c>
      <c r="I25" s="76">
        <v>9.5</v>
      </c>
      <c r="J25" s="115" t="s">
        <v>712</v>
      </c>
      <c r="K25" s="76">
        <v>9</v>
      </c>
      <c r="L25" s="79"/>
      <c r="M25" s="76"/>
      <c r="N25" s="76">
        <f t="shared" si="1"/>
        <v>28</v>
      </c>
      <c r="O25" s="76">
        <f t="shared" si="0"/>
        <v>0.60000000000000142</v>
      </c>
      <c r="P25" s="78">
        <f t="shared" si="2"/>
        <v>46251</v>
      </c>
      <c r="Q25" s="80">
        <f t="shared" si="3"/>
        <v>46258</v>
      </c>
      <c r="R25" s="78">
        <f t="shared" si="4"/>
        <v>46272</v>
      </c>
      <c r="S25" s="78"/>
      <c r="T25" s="80"/>
      <c r="U25" s="78"/>
    </row>
    <row r="26" spans="1:21" x14ac:dyDescent="0.25">
      <c r="A26" s="181"/>
      <c r="B26" s="4">
        <v>22</v>
      </c>
      <c r="C26" s="171">
        <v>27.4</v>
      </c>
      <c r="D26" s="172"/>
      <c r="E26" s="78">
        <v>46243</v>
      </c>
      <c r="F26" s="115" t="s">
        <v>601</v>
      </c>
      <c r="G26" s="76">
        <v>9</v>
      </c>
      <c r="H26" s="115" t="s">
        <v>602</v>
      </c>
      <c r="I26" s="76">
        <v>9.5</v>
      </c>
      <c r="J26" s="115" t="s">
        <v>603</v>
      </c>
      <c r="K26" s="76">
        <v>9.5</v>
      </c>
      <c r="L26" s="79"/>
      <c r="M26" s="76"/>
      <c r="N26" s="76">
        <f t="shared" si="1"/>
        <v>28</v>
      </c>
      <c r="O26" s="76">
        <f t="shared" si="0"/>
        <v>0.60000000000000142</v>
      </c>
      <c r="P26" s="78">
        <f t="shared" si="2"/>
        <v>46250</v>
      </c>
      <c r="Q26" s="80">
        <f t="shared" si="3"/>
        <v>46257</v>
      </c>
      <c r="R26" s="78">
        <f t="shared" si="4"/>
        <v>46271</v>
      </c>
      <c r="S26" s="78"/>
      <c r="T26" s="80"/>
      <c r="U26" s="78"/>
    </row>
    <row r="27" spans="1:21" x14ac:dyDescent="0.25">
      <c r="A27" s="181"/>
      <c r="B27" s="4">
        <v>23</v>
      </c>
      <c r="C27" s="171">
        <v>27.4</v>
      </c>
      <c r="D27" s="172"/>
      <c r="E27" s="78">
        <v>46242</v>
      </c>
      <c r="F27" s="115" t="s">
        <v>610</v>
      </c>
      <c r="G27" s="76">
        <v>9.5</v>
      </c>
      <c r="H27" s="115" t="s">
        <v>611</v>
      </c>
      <c r="I27" s="76">
        <v>9.5</v>
      </c>
      <c r="J27" s="115" t="s">
        <v>612</v>
      </c>
      <c r="K27" s="76">
        <v>9</v>
      </c>
      <c r="L27" s="79"/>
      <c r="M27" s="76"/>
      <c r="N27" s="76">
        <f t="shared" si="1"/>
        <v>28</v>
      </c>
      <c r="O27" s="76">
        <f t="shared" si="0"/>
        <v>0.60000000000000142</v>
      </c>
      <c r="P27" s="78">
        <f t="shared" si="2"/>
        <v>46249</v>
      </c>
      <c r="Q27" s="80">
        <f t="shared" si="3"/>
        <v>46256</v>
      </c>
      <c r="R27" s="78">
        <f t="shared" si="4"/>
        <v>46270</v>
      </c>
      <c r="S27" s="78"/>
      <c r="T27" s="80"/>
      <c r="U27" s="78"/>
    </row>
    <row r="28" spans="1:21" x14ac:dyDescent="0.25">
      <c r="A28" s="182"/>
      <c r="B28" s="4">
        <v>24</v>
      </c>
      <c r="C28" s="171">
        <v>27.4</v>
      </c>
      <c r="D28" s="172"/>
      <c r="E28" s="78">
        <v>46243</v>
      </c>
      <c r="F28" s="115" t="s">
        <v>596</v>
      </c>
      <c r="G28" s="76">
        <v>9</v>
      </c>
      <c r="H28" s="115" t="s">
        <v>599</v>
      </c>
      <c r="I28" s="76">
        <v>9</v>
      </c>
      <c r="J28" s="115" t="s">
        <v>600</v>
      </c>
      <c r="K28" s="76">
        <v>9</v>
      </c>
      <c r="L28" s="79"/>
      <c r="M28" s="76"/>
      <c r="N28" s="76">
        <f t="shared" si="1"/>
        <v>27</v>
      </c>
      <c r="O28" s="76">
        <f t="shared" si="0"/>
        <v>-0.39999999999999858</v>
      </c>
      <c r="P28" s="78">
        <f t="shared" si="2"/>
        <v>46250</v>
      </c>
      <c r="Q28" s="80">
        <f t="shared" si="3"/>
        <v>46257</v>
      </c>
      <c r="R28" s="78">
        <f t="shared" si="4"/>
        <v>46271</v>
      </c>
      <c r="S28" s="78"/>
      <c r="T28" s="80"/>
      <c r="U28" s="78"/>
    </row>
    <row r="29" spans="1:21" x14ac:dyDescent="0.25">
      <c r="A29" s="74" t="s">
        <v>68</v>
      </c>
      <c r="B29" s="77"/>
      <c r="C29" s="171">
        <f>SUM(C5:D28)</f>
        <v>657.59999999999968</v>
      </c>
      <c r="D29" s="172"/>
      <c r="E29" s="174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</row>
  </sheetData>
  <mergeCells count="46">
    <mergeCell ref="H1:H4"/>
    <mergeCell ref="A1:B3"/>
    <mergeCell ref="C1:D4"/>
    <mergeCell ref="E1:E4"/>
    <mergeCell ref="F1:F4"/>
    <mergeCell ref="G1:G4"/>
    <mergeCell ref="T1:T4"/>
    <mergeCell ref="I1:I4"/>
    <mergeCell ref="J1:J4"/>
    <mergeCell ref="K1:K4"/>
    <mergeCell ref="L1:L4"/>
    <mergeCell ref="M1:M4"/>
    <mergeCell ref="N1:N4"/>
    <mergeCell ref="C18:D18"/>
    <mergeCell ref="U1:U4"/>
    <mergeCell ref="A5:A28"/>
    <mergeCell ref="C5:D5"/>
    <mergeCell ref="C6:D6"/>
    <mergeCell ref="C7:D7"/>
    <mergeCell ref="C8:D8"/>
    <mergeCell ref="C9:D9"/>
    <mergeCell ref="C10:D10"/>
    <mergeCell ref="C11:D11"/>
    <mergeCell ref="C12:D12"/>
    <mergeCell ref="O1:O4"/>
    <mergeCell ref="P1:P4"/>
    <mergeCell ref="Q1:Q4"/>
    <mergeCell ref="R1:R4"/>
    <mergeCell ref="S1:S4"/>
    <mergeCell ref="C13:D13"/>
    <mergeCell ref="C14:D14"/>
    <mergeCell ref="C15:D15"/>
    <mergeCell ref="C16:D16"/>
    <mergeCell ref="C17:D17"/>
    <mergeCell ref="E29:U29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3A3C3-973E-4BD3-9103-8533B030A563}">
  <dimension ref="A1:V29"/>
  <sheetViews>
    <sheetView zoomScale="55" zoomScaleNormal="55" workbookViewId="0">
      <selection activeCell="H20" sqref="H20"/>
    </sheetView>
  </sheetViews>
  <sheetFormatPr defaultRowHeight="15" x14ac:dyDescent="0.25"/>
  <cols>
    <col min="2" max="3" width="10.7109375" customWidth="1"/>
    <col min="4" max="4" width="11.28515625" customWidth="1"/>
    <col min="5" max="5" width="16.7109375" customWidth="1"/>
    <col min="6" max="15" width="16.85546875" customWidth="1"/>
    <col min="16" max="17" width="17.140625" customWidth="1"/>
    <col min="18" max="18" width="18.140625" customWidth="1"/>
    <col min="19" max="20" width="17.28515625" customWidth="1"/>
    <col min="21" max="21" width="18.7109375" customWidth="1"/>
    <col min="22" max="22" width="19.7109375" customWidth="1"/>
  </cols>
  <sheetData>
    <row r="1" spans="1:22" ht="15" customHeight="1" x14ac:dyDescent="0.25">
      <c r="A1" s="128" t="s">
        <v>89</v>
      </c>
      <c r="B1" s="128"/>
      <c r="C1" s="174" t="s">
        <v>69</v>
      </c>
      <c r="D1" s="175"/>
      <c r="E1" s="173" t="s">
        <v>67</v>
      </c>
      <c r="F1" s="183" t="s">
        <v>70</v>
      </c>
      <c r="G1" s="187" t="s">
        <v>71</v>
      </c>
      <c r="H1" s="183" t="s">
        <v>70</v>
      </c>
      <c r="I1" s="187" t="s">
        <v>71</v>
      </c>
      <c r="J1" s="183" t="s">
        <v>70</v>
      </c>
      <c r="K1" s="187" t="s">
        <v>71</v>
      </c>
      <c r="L1" s="183" t="s">
        <v>70</v>
      </c>
      <c r="M1" s="187" t="s">
        <v>71</v>
      </c>
      <c r="N1" s="183" t="s">
        <v>68</v>
      </c>
      <c r="O1" s="183" t="s">
        <v>74</v>
      </c>
      <c r="P1" s="170" t="s">
        <v>72</v>
      </c>
      <c r="Q1" s="170" t="s">
        <v>78</v>
      </c>
      <c r="R1" s="170" t="s">
        <v>73</v>
      </c>
      <c r="S1" s="170" t="s">
        <v>76</v>
      </c>
      <c r="T1" s="170" t="s">
        <v>79</v>
      </c>
      <c r="U1" s="170" t="s">
        <v>77</v>
      </c>
      <c r="V1" s="170" t="s">
        <v>90</v>
      </c>
    </row>
    <row r="2" spans="1:22" x14ac:dyDescent="0.25">
      <c r="A2" s="128"/>
      <c r="B2" s="128"/>
      <c r="C2" s="176"/>
      <c r="D2" s="177"/>
      <c r="E2" s="173"/>
      <c r="F2" s="184"/>
      <c r="G2" s="188"/>
      <c r="H2" s="184"/>
      <c r="I2" s="188"/>
      <c r="J2" s="184"/>
      <c r="K2" s="188"/>
      <c r="L2" s="184"/>
      <c r="M2" s="188"/>
      <c r="N2" s="184"/>
      <c r="O2" s="184"/>
      <c r="P2" s="170"/>
      <c r="Q2" s="170"/>
      <c r="R2" s="170"/>
      <c r="S2" s="170"/>
      <c r="T2" s="170"/>
      <c r="U2" s="170"/>
      <c r="V2" s="170"/>
    </row>
    <row r="3" spans="1:22" ht="15" customHeight="1" x14ac:dyDescent="0.25">
      <c r="A3" s="128"/>
      <c r="B3" s="128"/>
      <c r="C3" s="176"/>
      <c r="D3" s="177"/>
      <c r="E3" s="173"/>
      <c r="F3" s="184"/>
      <c r="G3" s="188"/>
      <c r="H3" s="184"/>
      <c r="I3" s="188"/>
      <c r="J3" s="184"/>
      <c r="K3" s="188"/>
      <c r="L3" s="184"/>
      <c r="M3" s="188"/>
      <c r="N3" s="184"/>
      <c r="O3" s="184"/>
      <c r="P3" s="170"/>
      <c r="Q3" s="170"/>
      <c r="R3" s="170"/>
      <c r="S3" s="170"/>
      <c r="T3" s="170"/>
      <c r="U3" s="170"/>
      <c r="V3" s="170"/>
    </row>
    <row r="4" spans="1:22" x14ac:dyDescent="0.25">
      <c r="A4" s="2" t="s">
        <v>0</v>
      </c>
      <c r="B4" s="75" t="s">
        <v>88</v>
      </c>
      <c r="C4" s="178"/>
      <c r="D4" s="179"/>
      <c r="E4" s="173"/>
      <c r="F4" s="185"/>
      <c r="G4" s="189"/>
      <c r="H4" s="185"/>
      <c r="I4" s="189"/>
      <c r="J4" s="185"/>
      <c r="K4" s="189"/>
      <c r="L4" s="185"/>
      <c r="M4" s="189"/>
      <c r="N4" s="185"/>
      <c r="O4" s="185"/>
      <c r="P4" s="170"/>
      <c r="Q4" s="170"/>
      <c r="R4" s="170"/>
      <c r="S4" s="170"/>
      <c r="T4" s="170"/>
      <c r="U4" s="170"/>
      <c r="V4" s="170"/>
    </row>
    <row r="5" spans="1:22" x14ac:dyDescent="0.25">
      <c r="A5" s="180" t="s">
        <v>24</v>
      </c>
      <c r="B5" s="4">
        <v>1</v>
      </c>
      <c r="C5" s="171">
        <v>26.27</v>
      </c>
      <c r="D5" s="172"/>
      <c r="E5" s="78">
        <v>46217</v>
      </c>
      <c r="F5" s="114" t="s">
        <v>374</v>
      </c>
      <c r="G5" s="76">
        <v>10</v>
      </c>
      <c r="H5" s="114" t="s">
        <v>375</v>
      </c>
      <c r="I5" s="76">
        <v>9</v>
      </c>
      <c r="J5" s="114" t="s">
        <v>376</v>
      </c>
      <c r="K5" s="76">
        <v>9</v>
      </c>
      <c r="L5" s="76"/>
      <c r="M5" s="76"/>
      <c r="N5" s="76">
        <f>G5+I5+K5+M5</f>
        <v>28</v>
      </c>
      <c r="O5" s="76">
        <f t="shared" ref="O5:O28" si="0">N5-C5</f>
        <v>1.7300000000000004</v>
      </c>
      <c r="P5" s="82">
        <f>E5+7</f>
        <v>46224</v>
      </c>
      <c r="Q5" s="82">
        <f>E5+14</f>
        <v>46231</v>
      </c>
      <c r="R5" s="82">
        <f>E5+28</f>
        <v>46245</v>
      </c>
      <c r="S5" s="82" t="s">
        <v>91</v>
      </c>
      <c r="T5" s="82" t="s">
        <v>91</v>
      </c>
      <c r="U5" s="82" t="s">
        <v>91</v>
      </c>
      <c r="V5" s="78"/>
    </row>
    <row r="6" spans="1:22" x14ac:dyDescent="0.25">
      <c r="A6" s="181"/>
      <c r="B6" s="4">
        <v>2</v>
      </c>
      <c r="C6" s="171">
        <v>26.27</v>
      </c>
      <c r="D6" s="172"/>
      <c r="E6" s="78">
        <v>46228</v>
      </c>
      <c r="F6" s="114" t="s">
        <v>147</v>
      </c>
      <c r="G6" s="76">
        <v>9</v>
      </c>
      <c r="H6" s="114" t="s">
        <v>148</v>
      </c>
      <c r="I6" s="76">
        <v>9</v>
      </c>
      <c r="J6" s="114" t="s">
        <v>149</v>
      </c>
      <c r="K6" s="76">
        <v>9</v>
      </c>
      <c r="L6" s="76"/>
      <c r="M6" s="76"/>
      <c r="N6" s="76">
        <f t="shared" ref="N6:N28" si="1">G6+I6+K6+M6</f>
        <v>27</v>
      </c>
      <c r="O6" s="76">
        <f t="shared" si="0"/>
        <v>0.73000000000000043</v>
      </c>
      <c r="P6" s="82">
        <f t="shared" ref="P6:P28" si="2">E6+7</f>
        <v>46235</v>
      </c>
      <c r="Q6" s="82">
        <f t="shared" ref="Q6:Q28" si="3">E6+14</f>
        <v>46242</v>
      </c>
      <c r="R6" s="81">
        <f t="shared" ref="R6:R28" si="4">E6+28</f>
        <v>46256</v>
      </c>
      <c r="S6" s="82" t="s">
        <v>91</v>
      </c>
      <c r="T6" s="81"/>
      <c r="U6" s="78"/>
      <c r="V6" s="78"/>
    </row>
    <row r="7" spans="1:22" x14ac:dyDescent="0.25">
      <c r="A7" s="181"/>
      <c r="B7" s="4">
        <v>3</v>
      </c>
      <c r="C7" s="171">
        <v>26.27</v>
      </c>
      <c r="D7" s="172"/>
      <c r="E7" s="78">
        <v>46225</v>
      </c>
      <c r="F7" s="114" t="s">
        <v>707</v>
      </c>
      <c r="G7" s="76">
        <v>9</v>
      </c>
      <c r="H7" s="114" t="s">
        <v>708</v>
      </c>
      <c r="I7" s="76">
        <v>9</v>
      </c>
      <c r="J7" s="114" t="s">
        <v>709</v>
      </c>
      <c r="K7" s="76">
        <v>9</v>
      </c>
      <c r="L7" s="76"/>
      <c r="M7" s="76"/>
      <c r="N7" s="76">
        <f t="shared" si="1"/>
        <v>27</v>
      </c>
      <c r="O7" s="76">
        <f t="shared" si="0"/>
        <v>0.73000000000000043</v>
      </c>
      <c r="P7" s="82">
        <f t="shared" si="2"/>
        <v>46232</v>
      </c>
      <c r="Q7" s="82">
        <f t="shared" si="3"/>
        <v>46239</v>
      </c>
      <c r="R7" s="81">
        <f t="shared" si="4"/>
        <v>46253</v>
      </c>
      <c r="S7" s="82" t="s">
        <v>91</v>
      </c>
      <c r="T7" s="81"/>
      <c r="U7" s="78"/>
      <c r="V7" s="78"/>
    </row>
    <row r="8" spans="1:22" x14ac:dyDescent="0.25">
      <c r="A8" s="181"/>
      <c r="B8" s="4">
        <v>4</v>
      </c>
      <c r="C8" s="171">
        <v>26.27</v>
      </c>
      <c r="D8" s="172"/>
      <c r="E8" s="78">
        <v>46234</v>
      </c>
      <c r="F8" s="114" t="s">
        <v>260</v>
      </c>
      <c r="G8" s="76">
        <v>9</v>
      </c>
      <c r="H8" s="114" t="s">
        <v>261</v>
      </c>
      <c r="I8" s="76">
        <v>9.5</v>
      </c>
      <c r="J8" s="114" t="s">
        <v>262</v>
      </c>
      <c r="K8" s="76">
        <v>9.5</v>
      </c>
      <c r="L8" s="76"/>
      <c r="M8" s="76"/>
      <c r="N8" s="76">
        <f t="shared" si="1"/>
        <v>28</v>
      </c>
      <c r="O8" s="76">
        <f t="shared" si="0"/>
        <v>1.7300000000000004</v>
      </c>
      <c r="P8" s="82">
        <f t="shared" si="2"/>
        <v>46241</v>
      </c>
      <c r="Q8" s="82">
        <f t="shared" si="3"/>
        <v>46248</v>
      </c>
      <c r="R8" s="81">
        <f t="shared" si="4"/>
        <v>46262</v>
      </c>
      <c r="S8" s="82" t="s">
        <v>91</v>
      </c>
      <c r="T8" s="81"/>
      <c r="U8" s="78"/>
      <c r="V8" s="78"/>
    </row>
    <row r="9" spans="1:22" x14ac:dyDescent="0.25">
      <c r="A9" s="181"/>
      <c r="B9" s="4">
        <v>5</v>
      </c>
      <c r="C9" s="171">
        <v>26.27</v>
      </c>
      <c r="D9" s="172"/>
      <c r="E9" s="78">
        <v>46246</v>
      </c>
      <c r="F9" s="114" t="s">
        <v>704</v>
      </c>
      <c r="G9" s="76">
        <v>9</v>
      </c>
      <c r="H9" s="114" t="s">
        <v>705</v>
      </c>
      <c r="I9" s="76">
        <v>9</v>
      </c>
      <c r="J9" s="114" t="s">
        <v>706</v>
      </c>
      <c r="K9" s="76">
        <v>9</v>
      </c>
      <c r="L9" s="76"/>
      <c r="M9" s="76"/>
      <c r="N9" s="76">
        <f t="shared" si="1"/>
        <v>27</v>
      </c>
      <c r="O9" s="76">
        <f t="shared" si="0"/>
        <v>0.73000000000000043</v>
      </c>
      <c r="P9" s="81">
        <f t="shared" si="2"/>
        <v>46253</v>
      </c>
      <c r="Q9" s="81">
        <f t="shared" si="3"/>
        <v>46260</v>
      </c>
      <c r="R9" s="81">
        <f t="shared" si="4"/>
        <v>46274</v>
      </c>
      <c r="S9" s="81"/>
      <c r="T9" s="81"/>
      <c r="U9" s="78"/>
      <c r="V9" s="78"/>
    </row>
    <row r="10" spans="1:22" x14ac:dyDescent="0.25">
      <c r="A10" s="181"/>
      <c r="B10" s="4">
        <v>6</v>
      </c>
      <c r="C10" s="171">
        <v>26.27</v>
      </c>
      <c r="D10" s="172"/>
      <c r="E10" s="78">
        <v>46245</v>
      </c>
      <c r="F10" s="114" t="s">
        <v>701</v>
      </c>
      <c r="G10" s="76">
        <v>10</v>
      </c>
      <c r="H10" s="114" t="s">
        <v>702</v>
      </c>
      <c r="I10" s="76">
        <v>12</v>
      </c>
      <c r="J10" s="114" t="s">
        <v>703</v>
      </c>
      <c r="K10" s="76">
        <v>10</v>
      </c>
      <c r="L10" s="114" t="s">
        <v>722</v>
      </c>
      <c r="M10" s="76">
        <v>10</v>
      </c>
      <c r="N10" s="76">
        <f t="shared" si="1"/>
        <v>42</v>
      </c>
      <c r="O10" s="76">
        <f t="shared" si="0"/>
        <v>15.73</v>
      </c>
      <c r="P10" s="81">
        <f t="shared" si="2"/>
        <v>46252</v>
      </c>
      <c r="Q10" s="81">
        <f t="shared" si="3"/>
        <v>46259</v>
      </c>
      <c r="R10" s="81">
        <f t="shared" si="4"/>
        <v>46273</v>
      </c>
      <c r="S10" s="81"/>
      <c r="T10" s="81"/>
      <c r="U10" s="78"/>
      <c r="V10" s="78"/>
    </row>
    <row r="11" spans="1:22" x14ac:dyDescent="0.25">
      <c r="A11" s="181"/>
      <c r="B11" s="4">
        <v>7</v>
      </c>
      <c r="C11" s="171">
        <v>26.27</v>
      </c>
      <c r="D11" s="172"/>
      <c r="E11" s="78">
        <v>46214</v>
      </c>
      <c r="F11" s="115" t="s">
        <v>381</v>
      </c>
      <c r="G11" s="76">
        <v>9</v>
      </c>
      <c r="H11" s="115" t="s">
        <v>382</v>
      </c>
      <c r="I11" s="76">
        <v>9</v>
      </c>
      <c r="J11" s="115" t="s">
        <v>383</v>
      </c>
      <c r="K11" s="76">
        <v>9</v>
      </c>
      <c r="L11" s="76"/>
      <c r="M11" s="76"/>
      <c r="N11" s="76">
        <f t="shared" si="1"/>
        <v>27</v>
      </c>
      <c r="O11" s="76">
        <f t="shared" si="0"/>
        <v>0.73000000000000043</v>
      </c>
      <c r="P11" s="82">
        <f t="shared" si="2"/>
        <v>46221</v>
      </c>
      <c r="Q11" s="82">
        <f t="shared" si="3"/>
        <v>46228</v>
      </c>
      <c r="R11" s="82">
        <f t="shared" si="4"/>
        <v>46242</v>
      </c>
      <c r="S11" s="82" t="s">
        <v>91</v>
      </c>
      <c r="T11" s="82" t="s">
        <v>91</v>
      </c>
      <c r="U11" s="82" t="s">
        <v>91</v>
      </c>
      <c r="V11" s="78"/>
    </row>
    <row r="12" spans="1:22" x14ac:dyDescent="0.25">
      <c r="A12" s="181"/>
      <c r="B12" s="4">
        <v>8</v>
      </c>
      <c r="C12" s="171">
        <v>26.27</v>
      </c>
      <c r="D12" s="172"/>
      <c r="E12" s="78">
        <v>46227</v>
      </c>
      <c r="F12" s="114" t="s">
        <v>116</v>
      </c>
      <c r="G12" s="76">
        <v>9</v>
      </c>
      <c r="H12" s="114" t="s">
        <v>117</v>
      </c>
      <c r="I12" s="76">
        <v>9</v>
      </c>
      <c r="J12" s="114" t="s">
        <v>118</v>
      </c>
      <c r="K12" s="76">
        <v>9</v>
      </c>
      <c r="L12" s="76"/>
      <c r="M12" s="76"/>
      <c r="N12" s="76">
        <f t="shared" si="1"/>
        <v>27</v>
      </c>
      <c r="O12" s="76">
        <f t="shared" si="0"/>
        <v>0.73000000000000043</v>
      </c>
      <c r="P12" s="82">
        <f t="shared" si="2"/>
        <v>46234</v>
      </c>
      <c r="Q12" s="82">
        <f t="shared" si="3"/>
        <v>46241</v>
      </c>
      <c r="R12" s="81">
        <f t="shared" si="4"/>
        <v>46255</v>
      </c>
      <c r="S12" s="82" t="s">
        <v>91</v>
      </c>
      <c r="T12" s="82" t="s">
        <v>91</v>
      </c>
      <c r="U12" s="78"/>
      <c r="V12" s="78"/>
    </row>
    <row r="13" spans="1:22" x14ac:dyDescent="0.25">
      <c r="A13" s="181"/>
      <c r="B13" s="4">
        <v>9</v>
      </c>
      <c r="C13" s="171">
        <v>26.27</v>
      </c>
      <c r="D13" s="172"/>
      <c r="E13" s="78">
        <v>46219</v>
      </c>
      <c r="F13" s="115" t="s">
        <v>369</v>
      </c>
      <c r="G13" s="76">
        <v>9.5</v>
      </c>
      <c r="H13" s="114" t="s">
        <v>370</v>
      </c>
      <c r="I13" s="76">
        <v>9.5</v>
      </c>
      <c r="J13" s="114" t="s">
        <v>371</v>
      </c>
      <c r="K13" s="76">
        <v>9</v>
      </c>
      <c r="L13" s="76"/>
      <c r="M13" s="76"/>
      <c r="N13" s="76">
        <f t="shared" si="1"/>
        <v>28</v>
      </c>
      <c r="O13" s="76">
        <f t="shared" si="0"/>
        <v>1.7300000000000004</v>
      </c>
      <c r="P13" s="82">
        <f t="shared" si="2"/>
        <v>46226</v>
      </c>
      <c r="Q13" s="82">
        <f t="shared" si="3"/>
        <v>46233</v>
      </c>
      <c r="R13" s="82">
        <f t="shared" si="4"/>
        <v>46247</v>
      </c>
      <c r="S13" s="82" t="s">
        <v>91</v>
      </c>
      <c r="T13" s="82" t="s">
        <v>91</v>
      </c>
      <c r="U13" s="82" t="s">
        <v>91</v>
      </c>
      <c r="V13" s="78"/>
    </row>
    <row r="14" spans="1:22" x14ac:dyDescent="0.25">
      <c r="A14" s="181"/>
      <c r="B14" s="4">
        <v>10</v>
      </c>
      <c r="C14" s="171">
        <v>26.27</v>
      </c>
      <c r="D14" s="172"/>
      <c r="E14" s="78">
        <v>46225</v>
      </c>
      <c r="F14" s="114" t="s">
        <v>349</v>
      </c>
      <c r="G14" s="76">
        <v>9</v>
      </c>
      <c r="H14" s="114" t="s">
        <v>350</v>
      </c>
      <c r="I14" s="76">
        <v>9</v>
      </c>
      <c r="J14" s="114" t="s">
        <v>351</v>
      </c>
      <c r="K14" s="76">
        <v>9</v>
      </c>
      <c r="L14" s="76"/>
      <c r="M14" s="76"/>
      <c r="N14" s="76">
        <f t="shared" si="1"/>
        <v>27</v>
      </c>
      <c r="O14" s="76">
        <f t="shared" si="0"/>
        <v>0.73000000000000043</v>
      </c>
      <c r="P14" s="82">
        <f t="shared" si="2"/>
        <v>46232</v>
      </c>
      <c r="Q14" s="82">
        <f t="shared" si="3"/>
        <v>46239</v>
      </c>
      <c r="R14" s="81">
        <f t="shared" si="4"/>
        <v>46253</v>
      </c>
      <c r="S14" s="82" t="s">
        <v>91</v>
      </c>
      <c r="T14" s="82" t="s">
        <v>91</v>
      </c>
      <c r="U14" s="78"/>
      <c r="V14" s="78"/>
    </row>
    <row r="15" spans="1:22" x14ac:dyDescent="0.25">
      <c r="A15" s="181"/>
      <c r="B15" s="4">
        <v>11</v>
      </c>
      <c r="C15" s="171">
        <v>26.27</v>
      </c>
      <c r="D15" s="172"/>
      <c r="E15" s="78">
        <v>46219</v>
      </c>
      <c r="F15" s="115" t="s">
        <v>361</v>
      </c>
      <c r="G15" s="76">
        <v>10</v>
      </c>
      <c r="H15" s="115" t="s">
        <v>362</v>
      </c>
      <c r="I15" s="76">
        <v>9</v>
      </c>
      <c r="J15" s="115" t="s">
        <v>363</v>
      </c>
      <c r="K15" s="76">
        <v>9</v>
      </c>
      <c r="L15" s="76"/>
      <c r="M15" s="76"/>
      <c r="N15" s="76">
        <f t="shared" si="1"/>
        <v>28</v>
      </c>
      <c r="O15" s="76">
        <f t="shared" si="0"/>
        <v>1.7300000000000004</v>
      </c>
      <c r="P15" s="82">
        <f t="shared" si="2"/>
        <v>46226</v>
      </c>
      <c r="Q15" s="82">
        <f t="shared" si="3"/>
        <v>46233</v>
      </c>
      <c r="R15" s="82">
        <f t="shared" si="4"/>
        <v>46247</v>
      </c>
      <c r="S15" s="82" t="s">
        <v>91</v>
      </c>
      <c r="T15" s="82" t="s">
        <v>91</v>
      </c>
      <c r="U15" s="82" t="s">
        <v>91</v>
      </c>
      <c r="V15" s="78"/>
    </row>
    <row r="16" spans="1:22" x14ac:dyDescent="0.25">
      <c r="A16" s="181"/>
      <c r="B16" s="4">
        <v>12</v>
      </c>
      <c r="C16" s="171">
        <v>26.27</v>
      </c>
      <c r="D16" s="172"/>
      <c r="E16" s="78">
        <v>46224</v>
      </c>
      <c r="F16" s="115" t="s">
        <v>352</v>
      </c>
      <c r="G16" s="76">
        <v>9</v>
      </c>
      <c r="H16" s="114" t="s">
        <v>353</v>
      </c>
      <c r="I16" s="76">
        <v>9</v>
      </c>
      <c r="J16" s="114" t="s">
        <v>354</v>
      </c>
      <c r="K16" s="76">
        <v>9</v>
      </c>
      <c r="L16" s="76"/>
      <c r="M16" s="76"/>
      <c r="N16" s="76">
        <f t="shared" si="1"/>
        <v>27</v>
      </c>
      <c r="O16" s="76">
        <f t="shared" si="0"/>
        <v>0.73000000000000043</v>
      </c>
      <c r="P16" s="82">
        <f t="shared" si="2"/>
        <v>46231</v>
      </c>
      <c r="Q16" s="82">
        <f t="shared" si="3"/>
        <v>46238</v>
      </c>
      <c r="R16" s="81">
        <f t="shared" si="4"/>
        <v>46252</v>
      </c>
      <c r="S16" s="82" t="s">
        <v>91</v>
      </c>
      <c r="T16" s="82" t="s">
        <v>91</v>
      </c>
      <c r="U16" s="78"/>
      <c r="V16" s="78"/>
    </row>
    <row r="17" spans="1:22" x14ac:dyDescent="0.25">
      <c r="A17" s="181"/>
      <c r="B17" s="4">
        <v>13</v>
      </c>
      <c r="C17" s="171">
        <v>26.27</v>
      </c>
      <c r="D17" s="172"/>
      <c r="E17" s="78">
        <v>46218</v>
      </c>
      <c r="F17" s="114" t="s">
        <v>366</v>
      </c>
      <c r="G17" s="76">
        <v>10</v>
      </c>
      <c r="H17" s="114" t="s">
        <v>367</v>
      </c>
      <c r="I17" s="76">
        <v>9</v>
      </c>
      <c r="J17" s="114" t="s">
        <v>368</v>
      </c>
      <c r="K17" s="76">
        <v>10</v>
      </c>
      <c r="L17" s="76"/>
      <c r="M17" s="76"/>
      <c r="N17" s="76">
        <f t="shared" si="1"/>
        <v>29</v>
      </c>
      <c r="O17" s="76">
        <f t="shared" si="0"/>
        <v>2.7300000000000004</v>
      </c>
      <c r="P17" s="82">
        <f t="shared" si="2"/>
        <v>46225</v>
      </c>
      <c r="Q17" s="82">
        <f t="shared" si="3"/>
        <v>46232</v>
      </c>
      <c r="R17" s="82">
        <f t="shared" si="4"/>
        <v>46246</v>
      </c>
      <c r="S17" s="82" t="s">
        <v>91</v>
      </c>
      <c r="T17" s="82" t="s">
        <v>91</v>
      </c>
      <c r="U17" s="82" t="s">
        <v>91</v>
      </c>
      <c r="V17" s="78"/>
    </row>
    <row r="18" spans="1:22" x14ac:dyDescent="0.25">
      <c r="A18" s="181"/>
      <c r="B18" s="4">
        <v>14</v>
      </c>
      <c r="C18" s="171">
        <v>26.27</v>
      </c>
      <c r="D18" s="172"/>
      <c r="E18" s="78">
        <v>46228</v>
      </c>
      <c r="F18" s="115" t="s">
        <v>131</v>
      </c>
      <c r="G18" s="76">
        <v>9</v>
      </c>
      <c r="H18" s="115" t="s">
        <v>132</v>
      </c>
      <c r="I18" s="76">
        <v>9</v>
      </c>
      <c r="J18" s="115" t="s">
        <v>133</v>
      </c>
      <c r="K18" s="76">
        <v>9</v>
      </c>
      <c r="L18" s="79"/>
      <c r="M18" s="76"/>
      <c r="N18" s="76">
        <f t="shared" si="1"/>
        <v>27</v>
      </c>
      <c r="O18" s="76">
        <f t="shared" si="0"/>
        <v>0.73000000000000043</v>
      </c>
      <c r="P18" s="82">
        <f t="shared" si="2"/>
        <v>46235</v>
      </c>
      <c r="Q18" s="82">
        <f t="shared" si="3"/>
        <v>46242</v>
      </c>
      <c r="R18" s="81">
        <f t="shared" si="4"/>
        <v>46256</v>
      </c>
      <c r="S18" s="82" t="s">
        <v>91</v>
      </c>
      <c r="T18" s="82" t="s">
        <v>91</v>
      </c>
      <c r="U18" s="78"/>
      <c r="V18" s="78"/>
    </row>
    <row r="19" spans="1:22" x14ac:dyDescent="0.25">
      <c r="A19" s="181"/>
      <c r="B19" s="4">
        <v>15</v>
      </c>
      <c r="C19" s="171">
        <v>26.27</v>
      </c>
      <c r="D19" s="172"/>
      <c r="E19" s="78">
        <v>46223</v>
      </c>
      <c r="F19" s="115" t="s">
        <v>358</v>
      </c>
      <c r="G19" s="76">
        <v>9</v>
      </c>
      <c r="H19" s="115" t="s">
        <v>359</v>
      </c>
      <c r="I19" s="76">
        <v>9</v>
      </c>
      <c r="J19" s="115" t="s">
        <v>360</v>
      </c>
      <c r="K19" s="76">
        <v>9</v>
      </c>
      <c r="L19" s="79"/>
      <c r="M19" s="76"/>
      <c r="N19" s="76">
        <f t="shared" si="1"/>
        <v>27</v>
      </c>
      <c r="O19" s="76">
        <f t="shared" si="0"/>
        <v>0.73000000000000043</v>
      </c>
      <c r="P19" s="82">
        <f t="shared" si="2"/>
        <v>46230</v>
      </c>
      <c r="Q19" s="82">
        <f t="shared" si="3"/>
        <v>46237</v>
      </c>
      <c r="R19" s="78">
        <f t="shared" si="4"/>
        <v>46251</v>
      </c>
      <c r="S19" s="82" t="s">
        <v>91</v>
      </c>
      <c r="T19" s="82" t="s">
        <v>91</v>
      </c>
      <c r="U19" s="78"/>
      <c r="V19" s="78"/>
    </row>
    <row r="20" spans="1:22" x14ac:dyDescent="0.25">
      <c r="A20" s="181"/>
      <c r="B20" s="4">
        <v>16</v>
      </c>
      <c r="C20" s="171">
        <v>26.27</v>
      </c>
      <c r="D20" s="172"/>
      <c r="E20" s="78">
        <v>46226</v>
      </c>
      <c r="F20" s="115" t="s">
        <v>719</v>
      </c>
      <c r="G20" s="76">
        <v>9</v>
      </c>
      <c r="H20" s="115" t="s">
        <v>720</v>
      </c>
      <c r="I20" s="76">
        <v>9</v>
      </c>
      <c r="J20" s="115" t="s">
        <v>721</v>
      </c>
      <c r="K20" s="76">
        <v>9</v>
      </c>
      <c r="L20" s="79"/>
      <c r="M20" s="76"/>
      <c r="N20" s="76">
        <f t="shared" si="1"/>
        <v>27</v>
      </c>
      <c r="O20" s="76">
        <f t="shared" si="0"/>
        <v>0.73000000000000043</v>
      </c>
      <c r="P20" s="82">
        <f t="shared" si="2"/>
        <v>46233</v>
      </c>
      <c r="Q20" s="82">
        <f t="shared" si="3"/>
        <v>46240</v>
      </c>
      <c r="R20" s="78">
        <f t="shared" si="4"/>
        <v>46254</v>
      </c>
      <c r="S20" s="82" t="s">
        <v>91</v>
      </c>
      <c r="T20" s="82" t="s">
        <v>91</v>
      </c>
      <c r="U20" s="78"/>
      <c r="V20" s="78"/>
    </row>
    <row r="21" spans="1:22" x14ac:dyDescent="0.25">
      <c r="A21" s="181"/>
      <c r="B21" s="4">
        <v>17</v>
      </c>
      <c r="C21" s="171">
        <v>26.27</v>
      </c>
      <c r="D21" s="172"/>
      <c r="E21" s="78">
        <v>46215</v>
      </c>
      <c r="F21" s="115" t="s">
        <v>377</v>
      </c>
      <c r="G21" s="76">
        <v>9</v>
      </c>
      <c r="H21" s="115" t="s">
        <v>378</v>
      </c>
      <c r="I21" s="76">
        <v>9</v>
      </c>
      <c r="J21" s="115" t="s">
        <v>379</v>
      </c>
      <c r="K21" s="76">
        <v>9</v>
      </c>
      <c r="L21" s="115" t="s">
        <v>380</v>
      </c>
      <c r="M21" s="76">
        <v>4.5</v>
      </c>
      <c r="N21" s="76">
        <f t="shared" si="1"/>
        <v>31.5</v>
      </c>
      <c r="O21" s="76">
        <f t="shared" si="0"/>
        <v>5.23</v>
      </c>
      <c r="P21" s="82">
        <f t="shared" si="2"/>
        <v>46222</v>
      </c>
      <c r="Q21" s="82">
        <f t="shared" si="3"/>
        <v>46229</v>
      </c>
      <c r="R21" s="82">
        <f t="shared" si="4"/>
        <v>46243</v>
      </c>
      <c r="S21" s="82" t="s">
        <v>91</v>
      </c>
      <c r="T21" s="82" t="s">
        <v>91</v>
      </c>
      <c r="U21" s="82" t="s">
        <v>91</v>
      </c>
      <c r="V21" s="78"/>
    </row>
    <row r="22" spans="1:22" x14ac:dyDescent="0.25">
      <c r="A22" s="181"/>
      <c r="B22" s="4">
        <v>18</v>
      </c>
      <c r="C22" s="171">
        <v>26.27</v>
      </c>
      <c r="D22" s="172"/>
      <c r="E22" s="78">
        <v>46227</v>
      </c>
      <c r="F22" s="115" t="s">
        <v>100</v>
      </c>
      <c r="G22" s="76">
        <v>3</v>
      </c>
      <c r="H22" s="115" t="s">
        <v>101</v>
      </c>
      <c r="I22" s="76">
        <v>9</v>
      </c>
      <c r="J22" s="115" t="s">
        <v>102</v>
      </c>
      <c r="K22" s="76">
        <v>9</v>
      </c>
      <c r="L22" s="115" t="s">
        <v>103</v>
      </c>
      <c r="M22" s="76">
        <v>9</v>
      </c>
      <c r="N22" s="76">
        <f t="shared" si="1"/>
        <v>30</v>
      </c>
      <c r="O22" s="76">
        <f t="shared" si="0"/>
        <v>3.7300000000000004</v>
      </c>
      <c r="P22" s="82">
        <f t="shared" si="2"/>
        <v>46234</v>
      </c>
      <c r="Q22" s="82">
        <f t="shared" si="3"/>
        <v>46241</v>
      </c>
      <c r="R22" s="78">
        <f t="shared" si="4"/>
        <v>46255</v>
      </c>
      <c r="S22" s="82" t="s">
        <v>91</v>
      </c>
      <c r="T22" s="82" t="s">
        <v>91</v>
      </c>
      <c r="U22" s="78"/>
      <c r="V22" s="78"/>
    </row>
    <row r="23" spans="1:22" x14ac:dyDescent="0.25">
      <c r="A23" s="181"/>
      <c r="B23" s="4">
        <v>19</v>
      </c>
      <c r="C23" s="171">
        <v>26.27</v>
      </c>
      <c r="D23" s="172"/>
      <c r="E23" s="78">
        <v>46232</v>
      </c>
      <c r="F23" s="115" t="s">
        <v>250</v>
      </c>
      <c r="G23" s="76">
        <v>9</v>
      </c>
      <c r="H23" s="115" t="s">
        <v>251</v>
      </c>
      <c r="I23" s="76">
        <v>9</v>
      </c>
      <c r="J23" s="115" t="s">
        <v>252</v>
      </c>
      <c r="K23" s="76">
        <v>9</v>
      </c>
      <c r="L23" s="79"/>
      <c r="M23" s="76"/>
      <c r="N23" s="76">
        <f t="shared" si="1"/>
        <v>27</v>
      </c>
      <c r="O23" s="76">
        <f t="shared" si="0"/>
        <v>0.73000000000000043</v>
      </c>
      <c r="P23" s="82">
        <f t="shared" si="2"/>
        <v>46239</v>
      </c>
      <c r="Q23" s="82">
        <f t="shared" si="3"/>
        <v>46246</v>
      </c>
      <c r="R23" s="78">
        <f t="shared" si="4"/>
        <v>46260</v>
      </c>
      <c r="S23" s="82" t="s">
        <v>91</v>
      </c>
      <c r="T23" s="82" t="s">
        <v>91</v>
      </c>
      <c r="U23" s="78"/>
      <c r="V23" s="78"/>
    </row>
    <row r="24" spans="1:22" x14ac:dyDescent="0.25">
      <c r="A24" s="181"/>
      <c r="B24" s="4">
        <v>20</v>
      </c>
      <c r="C24" s="171">
        <v>26.27</v>
      </c>
      <c r="D24" s="172"/>
      <c r="E24" s="78">
        <v>46235</v>
      </c>
      <c r="F24" s="115" t="s">
        <v>257</v>
      </c>
      <c r="G24" s="76">
        <v>9</v>
      </c>
      <c r="H24" s="115" t="s">
        <v>258</v>
      </c>
      <c r="I24" s="76">
        <v>9</v>
      </c>
      <c r="J24" s="115" t="s">
        <v>259</v>
      </c>
      <c r="K24" s="76">
        <v>9</v>
      </c>
      <c r="L24" s="79"/>
      <c r="M24" s="76"/>
      <c r="N24" s="76">
        <f t="shared" si="1"/>
        <v>27</v>
      </c>
      <c r="O24" s="76">
        <f t="shared" si="0"/>
        <v>0.73000000000000043</v>
      </c>
      <c r="P24" s="78">
        <f t="shared" si="2"/>
        <v>46242</v>
      </c>
      <c r="Q24" s="80">
        <f t="shared" si="3"/>
        <v>46249</v>
      </c>
      <c r="R24" s="78">
        <f t="shared" si="4"/>
        <v>46263</v>
      </c>
      <c r="S24" s="78"/>
      <c r="T24" s="80"/>
      <c r="U24" s="78"/>
      <c r="V24" s="78"/>
    </row>
    <row r="25" spans="1:22" x14ac:dyDescent="0.25">
      <c r="A25" s="181"/>
      <c r="B25" s="4">
        <v>21</v>
      </c>
      <c r="C25" s="171">
        <v>26.27</v>
      </c>
      <c r="D25" s="172"/>
      <c r="E25" s="78">
        <v>46232</v>
      </c>
      <c r="F25" s="115" t="s">
        <v>227</v>
      </c>
      <c r="G25" s="76">
        <v>10</v>
      </c>
      <c r="H25" s="115" t="s">
        <v>253</v>
      </c>
      <c r="I25" s="76">
        <v>10</v>
      </c>
      <c r="J25" s="115" t="s">
        <v>228</v>
      </c>
      <c r="K25" s="76">
        <v>10</v>
      </c>
      <c r="L25" s="115" t="s">
        <v>229</v>
      </c>
      <c r="M25" s="76">
        <f>1.5+3</f>
        <v>4.5</v>
      </c>
      <c r="N25" s="76">
        <f t="shared" si="1"/>
        <v>34.5</v>
      </c>
      <c r="O25" s="76">
        <f t="shared" si="0"/>
        <v>8.23</v>
      </c>
      <c r="P25" s="82">
        <f t="shared" si="2"/>
        <v>46239</v>
      </c>
      <c r="Q25" s="82">
        <f t="shared" si="3"/>
        <v>46246</v>
      </c>
      <c r="R25" s="78">
        <f t="shared" si="4"/>
        <v>46260</v>
      </c>
      <c r="S25" s="82" t="s">
        <v>91</v>
      </c>
      <c r="T25" s="82" t="s">
        <v>91</v>
      </c>
      <c r="U25" s="78"/>
      <c r="V25" s="78"/>
    </row>
    <row r="26" spans="1:22" x14ac:dyDescent="0.25">
      <c r="A26" s="181"/>
      <c r="B26" s="4">
        <v>22</v>
      </c>
      <c r="C26" s="171">
        <v>26.27</v>
      </c>
      <c r="D26" s="172"/>
      <c r="E26" s="78">
        <v>46224</v>
      </c>
      <c r="F26" s="115" t="s">
        <v>355</v>
      </c>
      <c r="G26" s="76">
        <v>9</v>
      </c>
      <c r="H26" s="115" t="s">
        <v>356</v>
      </c>
      <c r="I26" s="76">
        <v>9</v>
      </c>
      <c r="J26" s="115" t="s">
        <v>357</v>
      </c>
      <c r="K26" s="76">
        <v>9</v>
      </c>
      <c r="L26" s="79"/>
      <c r="M26" s="76"/>
      <c r="N26" s="76">
        <f t="shared" si="1"/>
        <v>27</v>
      </c>
      <c r="O26" s="76">
        <f t="shared" si="0"/>
        <v>0.73000000000000043</v>
      </c>
      <c r="P26" s="82">
        <f t="shared" si="2"/>
        <v>46231</v>
      </c>
      <c r="Q26" s="82">
        <f t="shared" si="3"/>
        <v>46238</v>
      </c>
      <c r="R26" s="78">
        <f t="shared" si="4"/>
        <v>46252</v>
      </c>
      <c r="S26" s="82" t="s">
        <v>91</v>
      </c>
      <c r="T26" s="82" t="s">
        <v>91</v>
      </c>
      <c r="U26" s="78"/>
      <c r="V26" s="78"/>
    </row>
    <row r="27" spans="1:22" x14ac:dyDescent="0.25">
      <c r="A27" s="181"/>
      <c r="B27" s="4">
        <v>23</v>
      </c>
      <c r="C27" s="171">
        <v>26.27</v>
      </c>
      <c r="D27" s="172"/>
      <c r="E27" s="78">
        <v>46218</v>
      </c>
      <c r="F27" s="115" t="s">
        <v>364</v>
      </c>
      <c r="G27" s="76">
        <v>9.5</v>
      </c>
      <c r="H27" s="115" t="s">
        <v>365</v>
      </c>
      <c r="I27" s="76">
        <v>2</v>
      </c>
      <c r="J27" s="115" t="s">
        <v>372</v>
      </c>
      <c r="K27" s="76">
        <v>9</v>
      </c>
      <c r="L27" s="115" t="s">
        <v>373</v>
      </c>
      <c r="M27" s="76">
        <v>9</v>
      </c>
      <c r="N27" s="76">
        <f t="shared" si="1"/>
        <v>29.5</v>
      </c>
      <c r="O27" s="76">
        <f t="shared" si="0"/>
        <v>3.2300000000000004</v>
      </c>
      <c r="P27" s="82">
        <f t="shared" si="2"/>
        <v>46225</v>
      </c>
      <c r="Q27" s="82">
        <f t="shared" si="3"/>
        <v>46232</v>
      </c>
      <c r="R27" s="82">
        <f t="shared" si="4"/>
        <v>46246</v>
      </c>
      <c r="S27" s="82" t="s">
        <v>91</v>
      </c>
      <c r="T27" s="82" t="s">
        <v>91</v>
      </c>
      <c r="U27" s="82" t="s">
        <v>91</v>
      </c>
      <c r="V27" s="78"/>
    </row>
    <row r="28" spans="1:22" x14ac:dyDescent="0.25">
      <c r="A28" s="182"/>
      <c r="B28" s="4">
        <v>24</v>
      </c>
      <c r="C28" s="171">
        <v>26.27</v>
      </c>
      <c r="D28" s="172"/>
      <c r="E28" s="78">
        <v>46226</v>
      </c>
      <c r="F28" s="115" t="s">
        <v>97</v>
      </c>
      <c r="G28" s="76">
        <v>9</v>
      </c>
      <c r="H28" s="115" t="s">
        <v>98</v>
      </c>
      <c r="I28" s="76">
        <v>9</v>
      </c>
      <c r="J28" s="115" t="s">
        <v>99</v>
      </c>
      <c r="K28" s="76">
        <v>9</v>
      </c>
      <c r="L28" s="79"/>
      <c r="M28" s="76"/>
      <c r="N28" s="76">
        <f t="shared" si="1"/>
        <v>27</v>
      </c>
      <c r="O28" s="76">
        <f t="shared" si="0"/>
        <v>0.73000000000000043</v>
      </c>
      <c r="P28" s="82">
        <f t="shared" si="2"/>
        <v>46233</v>
      </c>
      <c r="Q28" s="82">
        <f t="shared" si="3"/>
        <v>46240</v>
      </c>
      <c r="R28" s="78">
        <f t="shared" si="4"/>
        <v>46254</v>
      </c>
      <c r="S28" s="82" t="s">
        <v>91</v>
      </c>
      <c r="T28" s="82" t="s">
        <v>91</v>
      </c>
      <c r="U28" s="78"/>
      <c r="V28" s="78"/>
    </row>
    <row r="29" spans="1:22" x14ac:dyDescent="0.25">
      <c r="A29" s="74" t="s">
        <v>68</v>
      </c>
      <c r="B29" s="77"/>
      <c r="C29" s="171">
        <f>SUM(C5:D28)</f>
        <v>630.47999999999979</v>
      </c>
      <c r="D29" s="172"/>
      <c r="E29" s="174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  <c r="V29" s="186"/>
    </row>
  </sheetData>
  <autoFilter ref="A4:V29" xr:uid="{B8B3A3C3-973E-4BD3-9103-8533B030A563}">
    <filterColumn colId="2" showButton="0"/>
  </autoFilter>
  <mergeCells count="47">
    <mergeCell ref="V1:V4"/>
    <mergeCell ref="E29:V29"/>
    <mergeCell ref="H1:H4"/>
    <mergeCell ref="A1:B3"/>
    <mergeCell ref="C1:D4"/>
    <mergeCell ref="E1:E4"/>
    <mergeCell ref="F1:F4"/>
    <mergeCell ref="G1:G4"/>
    <mergeCell ref="T1:T4"/>
    <mergeCell ref="I1:I4"/>
    <mergeCell ref="J1:J4"/>
    <mergeCell ref="K1:K4"/>
    <mergeCell ref="L1:L4"/>
    <mergeCell ref="M1:M4"/>
    <mergeCell ref="N1:N4"/>
    <mergeCell ref="C18:D18"/>
    <mergeCell ref="U1:U4"/>
    <mergeCell ref="A5:A28"/>
    <mergeCell ref="C5:D5"/>
    <mergeCell ref="C6:D6"/>
    <mergeCell ref="C7:D7"/>
    <mergeCell ref="C8:D8"/>
    <mergeCell ref="C9:D9"/>
    <mergeCell ref="C10:D10"/>
    <mergeCell ref="C11:D11"/>
    <mergeCell ref="C12:D12"/>
    <mergeCell ref="O1:O4"/>
    <mergeCell ref="P1:P4"/>
    <mergeCell ref="Q1:Q4"/>
    <mergeCell ref="R1:R4"/>
    <mergeCell ref="S1:S4"/>
    <mergeCell ref="C13:D13"/>
    <mergeCell ref="C14:D14"/>
    <mergeCell ref="C15:D15"/>
    <mergeCell ref="C16:D16"/>
    <mergeCell ref="C17:D17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15FBC-63E8-4B99-B2A3-1F7677E109B7}">
  <dimension ref="A1:U29"/>
  <sheetViews>
    <sheetView topLeftCell="D1" zoomScale="55" zoomScaleNormal="55" workbookViewId="0">
      <selection activeCell="M45" sqref="M45"/>
    </sheetView>
  </sheetViews>
  <sheetFormatPr defaultRowHeight="15" x14ac:dyDescent="0.25"/>
  <cols>
    <col min="2" max="3" width="10.7109375" customWidth="1"/>
    <col min="4" max="4" width="11.28515625" customWidth="1"/>
    <col min="5" max="5" width="16.7109375" customWidth="1"/>
    <col min="6" max="15" width="16.85546875" customWidth="1"/>
    <col min="16" max="17" width="17.140625" customWidth="1"/>
    <col min="18" max="18" width="18.140625" customWidth="1"/>
    <col min="19" max="20" width="17.28515625" customWidth="1"/>
    <col min="21" max="21" width="18.7109375" customWidth="1"/>
  </cols>
  <sheetData>
    <row r="1" spans="1:21" ht="15" customHeight="1" x14ac:dyDescent="0.25">
      <c r="A1" s="128" t="s">
        <v>89</v>
      </c>
      <c r="B1" s="128"/>
      <c r="C1" s="174" t="s">
        <v>69</v>
      </c>
      <c r="D1" s="175"/>
      <c r="E1" s="173" t="s">
        <v>67</v>
      </c>
      <c r="F1" s="183" t="s">
        <v>70</v>
      </c>
      <c r="G1" s="187" t="s">
        <v>71</v>
      </c>
      <c r="H1" s="183" t="s">
        <v>70</v>
      </c>
      <c r="I1" s="187" t="s">
        <v>71</v>
      </c>
      <c r="J1" s="183" t="s">
        <v>70</v>
      </c>
      <c r="K1" s="187" t="s">
        <v>71</v>
      </c>
      <c r="L1" s="183" t="s">
        <v>70</v>
      </c>
      <c r="M1" s="187" t="s">
        <v>71</v>
      </c>
      <c r="N1" s="183" t="s">
        <v>68</v>
      </c>
      <c r="O1" s="183" t="s">
        <v>74</v>
      </c>
      <c r="P1" s="170" t="s">
        <v>72</v>
      </c>
      <c r="Q1" s="170" t="s">
        <v>78</v>
      </c>
      <c r="R1" s="170" t="s">
        <v>73</v>
      </c>
      <c r="S1" s="170" t="s">
        <v>76</v>
      </c>
      <c r="T1" s="170" t="s">
        <v>79</v>
      </c>
      <c r="U1" s="170" t="s">
        <v>77</v>
      </c>
    </row>
    <row r="2" spans="1:21" x14ac:dyDescent="0.25">
      <c r="A2" s="128"/>
      <c r="B2" s="128"/>
      <c r="C2" s="176"/>
      <c r="D2" s="177"/>
      <c r="E2" s="173"/>
      <c r="F2" s="184"/>
      <c r="G2" s="188"/>
      <c r="H2" s="184"/>
      <c r="I2" s="188"/>
      <c r="J2" s="184"/>
      <c r="K2" s="188"/>
      <c r="L2" s="184"/>
      <c r="M2" s="188"/>
      <c r="N2" s="184"/>
      <c r="O2" s="184"/>
      <c r="P2" s="170"/>
      <c r="Q2" s="170"/>
      <c r="R2" s="170"/>
      <c r="S2" s="170"/>
      <c r="T2" s="170"/>
      <c r="U2" s="170"/>
    </row>
    <row r="3" spans="1:21" ht="15" customHeight="1" x14ac:dyDescent="0.25">
      <c r="A3" s="128"/>
      <c r="B3" s="128"/>
      <c r="C3" s="176"/>
      <c r="D3" s="177"/>
      <c r="E3" s="173"/>
      <c r="F3" s="184"/>
      <c r="G3" s="188"/>
      <c r="H3" s="184"/>
      <c r="I3" s="188"/>
      <c r="J3" s="184"/>
      <c r="K3" s="188"/>
      <c r="L3" s="184"/>
      <c r="M3" s="188"/>
      <c r="N3" s="184"/>
      <c r="O3" s="184"/>
      <c r="P3" s="170"/>
      <c r="Q3" s="170"/>
      <c r="R3" s="170"/>
      <c r="S3" s="170"/>
      <c r="T3" s="170"/>
      <c r="U3" s="170"/>
    </row>
    <row r="4" spans="1:21" x14ac:dyDescent="0.25">
      <c r="A4" s="2" t="s">
        <v>0</v>
      </c>
      <c r="B4" s="75" t="s">
        <v>88</v>
      </c>
      <c r="C4" s="178"/>
      <c r="D4" s="179"/>
      <c r="E4" s="173"/>
      <c r="F4" s="185"/>
      <c r="G4" s="189"/>
      <c r="H4" s="185"/>
      <c r="I4" s="189"/>
      <c r="J4" s="185"/>
      <c r="K4" s="189"/>
      <c r="L4" s="185"/>
      <c r="M4" s="189"/>
      <c r="N4" s="185"/>
      <c r="O4" s="185"/>
      <c r="P4" s="170"/>
      <c r="Q4" s="170"/>
      <c r="R4" s="170"/>
      <c r="S4" s="170"/>
      <c r="T4" s="170"/>
      <c r="U4" s="170"/>
    </row>
    <row r="5" spans="1:21" x14ac:dyDescent="0.25">
      <c r="A5" s="180" t="s">
        <v>80</v>
      </c>
      <c r="B5" s="4">
        <v>1</v>
      </c>
      <c r="C5" s="171">
        <v>26.27</v>
      </c>
      <c r="D5" s="172"/>
      <c r="E5" s="78">
        <v>46233</v>
      </c>
      <c r="F5" s="114" t="s">
        <v>263</v>
      </c>
      <c r="G5" s="76">
        <v>9</v>
      </c>
      <c r="H5" s="114" t="s">
        <v>264</v>
      </c>
      <c r="I5" s="76">
        <v>9</v>
      </c>
      <c r="J5" s="114" t="s">
        <v>265</v>
      </c>
      <c r="K5" s="76">
        <v>9</v>
      </c>
      <c r="L5" s="76"/>
      <c r="M5" s="76"/>
      <c r="N5" s="76">
        <f>G5+I5+K5+M5</f>
        <v>27</v>
      </c>
      <c r="O5" s="76">
        <f t="shared" ref="O5:O28" si="0">N5-C5</f>
        <v>0.73000000000000043</v>
      </c>
      <c r="P5" s="82">
        <f>E5+7</f>
        <v>46240</v>
      </c>
      <c r="Q5" s="82">
        <f>E5+14</f>
        <v>46247</v>
      </c>
      <c r="R5" s="81">
        <f>E5+28</f>
        <v>46261</v>
      </c>
      <c r="S5" s="82" t="s">
        <v>91</v>
      </c>
      <c r="T5" s="82" t="s">
        <v>91</v>
      </c>
      <c r="U5" s="78"/>
    </row>
    <row r="6" spans="1:21" x14ac:dyDescent="0.25">
      <c r="A6" s="181"/>
      <c r="B6" s="4">
        <v>2</v>
      </c>
      <c r="C6" s="171">
        <v>26.27</v>
      </c>
      <c r="D6" s="172"/>
      <c r="E6" s="78">
        <v>46217</v>
      </c>
      <c r="F6" s="114" t="s">
        <v>390</v>
      </c>
      <c r="G6" s="76">
        <v>9</v>
      </c>
      <c r="H6" s="114" t="s">
        <v>391</v>
      </c>
      <c r="I6" s="76">
        <v>8.5</v>
      </c>
      <c r="J6" s="114" t="s">
        <v>392</v>
      </c>
      <c r="K6" s="76">
        <v>9</v>
      </c>
      <c r="L6" s="76"/>
      <c r="M6" s="76"/>
      <c r="N6" s="76">
        <f t="shared" ref="N6:N28" si="1">G6+I6+K6+M6</f>
        <v>26.5</v>
      </c>
      <c r="O6" s="76">
        <f t="shared" si="0"/>
        <v>0.23000000000000043</v>
      </c>
      <c r="P6" s="82">
        <f t="shared" ref="P6:P28" si="2">E6+7</f>
        <v>46224</v>
      </c>
      <c r="Q6" s="82">
        <f t="shared" ref="Q6:Q28" si="3">E6+14</f>
        <v>46231</v>
      </c>
      <c r="R6" s="82">
        <f t="shared" ref="R6:R28" si="4">E6+28</f>
        <v>46245</v>
      </c>
      <c r="S6" s="82" t="s">
        <v>91</v>
      </c>
      <c r="T6" s="82" t="s">
        <v>91</v>
      </c>
      <c r="U6" s="82" t="s">
        <v>91</v>
      </c>
    </row>
    <row r="7" spans="1:21" x14ac:dyDescent="0.25">
      <c r="A7" s="181"/>
      <c r="B7" s="4">
        <v>3</v>
      </c>
      <c r="C7" s="171">
        <v>26.27</v>
      </c>
      <c r="D7" s="172"/>
      <c r="E7" s="78">
        <v>46229</v>
      </c>
      <c r="F7" s="114" t="s">
        <v>168</v>
      </c>
      <c r="G7" s="76">
        <v>9</v>
      </c>
      <c r="H7" s="114" t="s">
        <v>169</v>
      </c>
      <c r="I7" s="76">
        <v>9</v>
      </c>
      <c r="J7" s="114" t="s">
        <v>170</v>
      </c>
      <c r="K7" s="76">
        <v>9</v>
      </c>
      <c r="L7" s="76"/>
      <c r="M7" s="76"/>
      <c r="N7" s="76">
        <f t="shared" si="1"/>
        <v>27</v>
      </c>
      <c r="O7" s="76">
        <f t="shared" si="0"/>
        <v>0.73000000000000043</v>
      </c>
      <c r="P7" s="82">
        <f t="shared" si="2"/>
        <v>46236</v>
      </c>
      <c r="Q7" s="82">
        <f t="shared" si="3"/>
        <v>46243</v>
      </c>
      <c r="R7" s="81">
        <f t="shared" si="4"/>
        <v>46257</v>
      </c>
      <c r="S7" s="82" t="s">
        <v>91</v>
      </c>
      <c r="T7" s="82" t="s">
        <v>91</v>
      </c>
      <c r="U7" s="78" t="s">
        <v>75</v>
      </c>
    </row>
    <row r="8" spans="1:21" x14ac:dyDescent="0.25">
      <c r="A8" s="181"/>
      <c r="B8" s="4">
        <v>4</v>
      </c>
      <c r="C8" s="171">
        <v>26.27</v>
      </c>
      <c r="D8" s="172"/>
      <c r="E8" s="78">
        <v>46213</v>
      </c>
      <c r="F8" s="114" t="s">
        <v>398</v>
      </c>
      <c r="G8" s="76">
        <v>9</v>
      </c>
      <c r="H8" s="114" t="s">
        <v>399</v>
      </c>
      <c r="I8" s="76">
        <v>9</v>
      </c>
      <c r="J8" s="114" t="s">
        <v>400</v>
      </c>
      <c r="K8" s="76">
        <v>8.5</v>
      </c>
      <c r="L8" s="76"/>
      <c r="M8" s="76"/>
      <c r="N8" s="76">
        <f t="shared" si="1"/>
        <v>26.5</v>
      </c>
      <c r="O8" s="76">
        <f t="shared" si="0"/>
        <v>0.23000000000000043</v>
      </c>
      <c r="P8" s="82">
        <f t="shared" si="2"/>
        <v>46220</v>
      </c>
      <c r="Q8" s="82">
        <f t="shared" si="3"/>
        <v>46227</v>
      </c>
      <c r="R8" s="82">
        <f t="shared" si="4"/>
        <v>46241</v>
      </c>
      <c r="S8" s="82" t="s">
        <v>91</v>
      </c>
      <c r="T8" s="82" t="s">
        <v>91</v>
      </c>
      <c r="U8" s="82" t="s">
        <v>91</v>
      </c>
    </row>
    <row r="9" spans="1:21" x14ac:dyDescent="0.25">
      <c r="A9" s="181"/>
      <c r="B9" s="4">
        <v>5</v>
      </c>
      <c r="C9" s="171">
        <v>26.27</v>
      </c>
      <c r="D9" s="172"/>
      <c r="E9" s="78">
        <v>46228</v>
      </c>
      <c r="F9" s="114" t="s">
        <v>156</v>
      </c>
      <c r="G9" s="76">
        <v>9</v>
      </c>
      <c r="H9" s="114" t="s">
        <v>157</v>
      </c>
      <c r="I9" s="76">
        <v>9</v>
      </c>
      <c r="J9" s="114" t="s">
        <v>158</v>
      </c>
      <c r="K9" s="76">
        <v>9</v>
      </c>
      <c r="L9" s="76"/>
      <c r="M9" s="76"/>
      <c r="N9" s="76">
        <f t="shared" si="1"/>
        <v>27</v>
      </c>
      <c r="O9" s="76">
        <f t="shared" si="0"/>
        <v>0.73000000000000043</v>
      </c>
      <c r="P9" s="82">
        <f t="shared" si="2"/>
        <v>46235</v>
      </c>
      <c r="Q9" s="82">
        <f t="shared" si="3"/>
        <v>46242</v>
      </c>
      <c r="R9" s="81">
        <f t="shared" si="4"/>
        <v>46256</v>
      </c>
      <c r="S9" s="82" t="s">
        <v>91</v>
      </c>
      <c r="T9" s="82" t="s">
        <v>91</v>
      </c>
      <c r="U9" s="78"/>
    </row>
    <row r="10" spans="1:21" x14ac:dyDescent="0.25">
      <c r="A10" s="181"/>
      <c r="B10" s="4">
        <v>6</v>
      </c>
      <c r="C10" s="171">
        <v>26.27</v>
      </c>
      <c r="D10" s="172"/>
      <c r="E10" s="78">
        <v>46213</v>
      </c>
      <c r="F10" s="114" t="s">
        <v>401</v>
      </c>
      <c r="G10" s="76">
        <v>9</v>
      </c>
      <c r="H10" s="114" t="s">
        <v>402</v>
      </c>
      <c r="I10" s="76">
        <v>9</v>
      </c>
      <c r="J10" s="114" t="s">
        <v>403</v>
      </c>
      <c r="K10" s="76">
        <v>9</v>
      </c>
      <c r="L10" s="76"/>
      <c r="M10" s="76"/>
      <c r="N10" s="76">
        <f t="shared" si="1"/>
        <v>27</v>
      </c>
      <c r="O10" s="76">
        <f t="shared" si="0"/>
        <v>0.73000000000000043</v>
      </c>
      <c r="P10" s="82">
        <f t="shared" si="2"/>
        <v>46220</v>
      </c>
      <c r="Q10" s="82">
        <f t="shared" si="3"/>
        <v>46227</v>
      </c>
      <c r="R10" s="82">
        <f t="shared" si="4"/>
        <v>46241</v>
      </c>
      <c r="S10" s="82" t="s">
        <v>91</v>
      </c>
      <c r="T10" s="82" t="s">
        <v>91</v>
      </c>
      <c r="U10" s="82" t="s">
        <v>91</v>
      </c>
    </row>
    <row r="11" spans="1:21" x14ac:dyDescent="0.25">
      <c r="A11" s="181"/>
      <c r="B11" s="4">
        <v>7</v>
      </c>
      <c r="C11" s="171">
        <v>26.27</v>
      </c>
      <c r="D11" s="172"/>
      <c r="E11" s="78">
        <v>46227</v>
      </c>
      <c r="F11" s="115" t="s">
        <v>113</v>
      </c>
      <c r="G11" s="76">
        <v>9</v>
      </c>
      <c r="H11" s="115" t="s">
        <v>110</v>
      </c>
      <c r="I11" s="76">
        <v>9</v>
      </c>
      <c r="J11" s="115" t="s">
        <v>111</v>
      </c>
      <c r="K11" s="76">
        <v>9</v>
      </c>
      <c r="L11" s="76"/>
      <c r="M11" s="76"/>
      <c r="N11" s="76">
        <f t="shared" si="1"/>
        <v>27</v>
      </c>
      <c r="O11" s="76">
        <f t="shared" si="0"/>
        <v>0.73000000000000043</v>
      </c>
      <c r="P11" s="82">
        <f t="shared" si="2"/>
        <v>46234</v>
      </c>
      <c r="Q11" s="82">
        <f t="shared" si="3"/>
        <v>46241</v>
      </c>
      <c r="R11" s="81">
        <f t="shared" si="4"/>
        <v>46255</v>
      </c>
      <c r="S11" s="82" t="s">
        <v>91</v>
      </c>
      <c r="T11" s="82" t="s">
        <v>91</v>
      </c>
      <c r="U11" s="78"/>
    </row>
    <row r="12" spans="1:21" x14ac:dyDescent="0.25">
      <c r="A12" s="181"/>
      <c r="B12" s="4">
        <v>8</v>
      </c>
      <c r="C12" s="171">
        <v>26.27</v>
      </c>
      <c r="D12" s="172"/>
      <c r="E12" s="78">
        <v>46215</v>
      </c>
      <c r="F12" s="114" t="s">
        <v>393</v>
      </c>
      <c r="G12" s="76">
        <v>9</v>
      </c>
      <c r="H12" s="114" t="s">
        <v>394</v>
      </c>
      <c r="I12" s="76">
        <v>9</v>
      </c>
      <c r="J12" s="114" t="s">
        <v>395</v>
      </c>
      <c r="K12" s="76">
        <v>8.5</v>
      </c>
      <c r="L12" s="76"/>
      <c r="M12" s="76"/>
      <c r="N12" s="76">
        <f t="shared" si="1"/>
        <v>26.5</v>
      </c>
      <c r="O12" s="76">
        <f t="shared" si="0"/>
        <v>0.23000000000000043</v>
      </c>
      <c r="P12" s="82">
        <f t="shared" si="2"/>
        <v>46222</v>
      </c>
      <c r="Q12" s="82">
        <f t="shared" si="3"/>
        <v>46229</v>
      </c>
      <c r="R12" s="82">
        <f t="shared" si="4"/>
        <v>46243</v>
      </c>
      <c r="S12" s="82" t="s">
        <v>91</v>
      </c>
      <c r="T12" s="82" t="s">
        <v>91</v>
      </c>
      <c r="U12" s="82" t="s">
        <v>91</v>
      </c>
    </row>
    <row r="13" spans="1:21" x14ac:dyDescent="0.25">
      <c r="A13" s="181"/>
      <c r="B13" s="4">
        <v>9</v>
      </c>
      <c r="C13" s="171">
        <v>26.27</v>
      </c>
      <c r="D13" s="172"/>
      <c r="E13" s="78">
        <v>46229</v>
      </c>
      <c r="F13" s="114" t="s">
        <v>159</v>
      </c>
      <c r="G13" s="76">
        <v>9</v>
      </c>
      <c r="H13" s="114" t="s">
        <v>160</v>
      </c>
      <c r="I13" s="76">
        <v>9</v>
      </c>
      <c r="J13" s="114" t="s">
        <v>161</v>
      </c>
      <c r="K13" s="76">
        <v>9</v>
      </c>
      <c r="L13" s="76"/>
      <c r="M13" s="76"/>
      <c r="N13" s="76">
        <f t="shared" si="1"/>
        <v>27</v>
      </c>
      <c r="O13" s="76">
        <f t="shared" si="0"/>
        <v>0.73000000000000043</v>
      </c>
      <c r="P13" s="82">
        <f t="shared" si="2"/>
        <v>46236</v>
      </c>
      <c r="Q13" s="82">
        <f t="shared" si="3"/>
        <v>46243</v>
      </c>
      <c r="R13" s="81">
        <f t="shared" si="4"/>
        <v>46257</v>
      </c>
      <c r="S13" s="82" t="s">
        <v>91</v>
      </c>
      <c r="T13" s="82" t="s">
        <v>91</v>
      </c>
      <c r="U13" s="78"/>
    </row>
    <row r="14" spans="1:21" x14ac:dyDescent="0.25">
      <c r="A14" s="181"/>
      <c r="B14" s="4">
        <v>10</v>
      </c>
      <c r="C14" s="171">
        <v>26.27</v>
      </c>
      <c r="D14" s="172"/>
      <c r="E14" s="78">
        <v>46218</v>
      </c>
      <c r="F14" s="114" t="s">
        <v>384</v>
      </c>
      <c r="G14" s="76">
        <v>9</v>
      </c>
      <c r="H14" s="114" t="s">
        <v>385</v>
      </c>
      <c r="I14" s="76">
        <v>9</v>
      </c>
      <c r="J14" s="114" t="s">
        <v>386</v>
      </c>
      <c r="K14" s="76">
        <v>9</v>
      </c>
      <c r="L14" s="76"/>
      <c r="M14" s="76"/>
      <c r="N14" s="76">
        <f t="shared" si="1"/>
        <v>27</v>
      </c>
      <c r="O14" s="76">
        <f t="shared" si="0"/>
        <v>0.73000000000000043</v>
      </c>
      <c r="P14" s="82">
        <f t="shared" si="2"/>
        <v>46225</v>
      </c>
      <c r="Q14" s="82">
        <f t="shared" si="3"/>
        <v>46232</v>
      </c>
      <c r="R14" s="82">
        <f t="shared" si="4"/>
        <v>46246</v>
      </c>
      <c r="S14" s="82" t="s">
        <v>91</v>
      </c>
      <c r="T14" s="82" t="s">
        <v>91</v>
      </c>
      <c r="U14" s="82" t="s">
        <v>91</v>
      </c>
    </row>
    <row r="15" spans="1:21" x14ac:dyDescent="0.25">
      <c r="A15" s="181"/>
      <c r="B15" s="4">
        <v>11</v>
      </c>
      <c r="C15" s="171">
        <v>26.27</v>
      </c>
      <c r="D15" s="172"/>
      <c r="E15" s="78">
        <v>46214</v>
      </c>
      <c r="F15" s="115" t="s">
        <v>396</v>
      </c>
      <c r="G15" s="76">
        <v>16</v>
      </c>
      <c r="H15" s="115" t="s">
        <v>397</v>
      </c>
      <c r="I15" s="76">
        <v>10.5</v>
      </c>
      <c r="J15" s="117"/>
      <c r="K15" s="76"/>
      <c r="L15" s="76"/>
      <c r="M15" s="76"/>
      <c r="N15" s="76">
        <f t="shared" si="1"/>
        <v>26.5</v>
      </c>
      <c r="O15" s="76">
        <f t="shared" si="0"/>
        <v>0.23000000000000043</v>
      </c>
      <c r="P15" s="82">
        <f t="shared" si="2"/>
        <v>46221</v>
      </c>
      <c r="Q15" s="82">
        <f t="shared" si="3"/>
        <v>46228</v>
      </c>
      <c r="R15" s="82">
        <f t="shared" si="4"/>
        <v>46242</v>
      </c>
      <c r="S15" s="82" t="s">
        <v>91</v>
      </c>
      <c r="T15" s="82" t="s">
        <v>91</v>
      </c>
      <c r="U15" s="82" t="s">
        <v>91</v>
      </c>
    </row>
    <row r="16" spans="1:21" x14ac:dyDescent="0.25">
      <c r="A16" s="181"/>
      <c r="B16" s="4">
        <v>12</v>
      </c>
      <c r="C16" s="171">
        <v>26.27</v>
      </c>
      <c r="D16" s="172"/>
      <c r="E16" s="78">
        <v>46217</v>
      </c>
      <c r="F16" s="115" t="s">
        <v>387</v>
      </c>
      <c r="G16" s="76">
        <v>9</v>
      </c>
      <c r="H16" s="115" t="s">
        <v>388</v>
      </c>
      <c r="I16" s="76">
        <v>9</v>
      </c>
      <c r="J16" s="115" t="s">
        <v>389</v>
      </c>
      <c r="K16" s="76">
        <v>8.5</v>
      </c>
      <c r="L16" s="76"/>
      <c r="M16" s="76"/>
      <c r="N16" s="76">
        <f t="shared" si="1"/>
        <v>26.5</v>
      </c>
      <c r="O16" s="76">
        <f t="shared" si="0"/>
        <v>0.23000000000000043</v>
      </c>
      <c r="P16" s="82">
        <f t="shared" si="2"/>
        <v>46224</v>
      </c>
      <c r="Q16" s="82">
        <f t="shared" si="3"/>
        <v>46231</v>
      </c>
      <c r="R16" s="82">
        <f t="shared" si="4"/>
        <v>46245</v>
      </c>
      <c r="S16" s="82" t="s">
        <v>91</v>
      </c>
      <c r="T16" s="82" t="s">
        <v>91</v>
      </c>
      <c r="U16" s="82" t="s">
        <v>91</v>
      </c>
    </row>
    <row r="17" spans="1:21" x14ac:dyDescent="0.25">
      <c r="A17" s="181"/>
      <c r="B17" s="4">
        <v>13</v>
      </c>
      <c r="C17" s="171">
        <v>26.27</v>
      </c>
      <c r="D17" s="172"/>
      <c r="E17" s="78">
        <v>46231</v>
      </c>
      <c r="F17" s="114" t="s">
        <v>223</v>
      </c>
      <c r="G17" s="76">
        <v>9</v>
      </c>
      <c r="H17" s="114" t="s">
        <v>224</v>
      </c>
      <c r="I17" s="76">
        <v>9</v>
      </c>
      <c r="J17" s="114" t="s">
        <v>225</v>
      </c>
      <c r="K17" s="76">
        <v>9</v>
      </c>
      <c r="L17" s="76"/>
      <c r="M17" s="76"/>
      <c r="N17" s="76">
        <f t="shared" si="1"/>
        <v>27</v>
      </c>
      <c r="O17" s="76">
        <f t="shared" si="0"/>
        <v>0.73000000000000043</v>
      </c>
      <c r="P17" s="82">
        <f t="shared" si="2"/>
        <v>46238</v>
      </c>
      <c r="Q17" s="82">
        <f t="shared" si="3"/>
        <v>46245</v>
      </c>
      <c r="R17" s="81">
        <f t="shared" si="4"/>
        <v>46259</v>
      </c>
      <c r="S17" s="82" t="s">
        <v>91</v>
      </c>
      <c r="T17" s="82" t="s">
        <v>91</v>
      </c>
      <c r="U17" s="78"/>
    </row>
    <row r="18" spans="1:21" x14ac:dyDescent="0.25">
      <c r="A18" s="181"/>
      <c r="B18" s="4">
        <v>14</v>
      </c>
      <c r="C18" s="171">
        <v>26.27</v>
      </c>
      <c r="D18" s="172"/>
      <c r="E18" s="78">
        <v>46228</v>
      </c>
      <c r="F18" s="115" t="s">
        <v>140</v>
      </c>
      <c r="G18" s="76">
        <v>9</v>
      </c>
      <c r="H18" s="115" t="s">
        <v>141</v>
      </c>
      <c r="I18" s="76">
        <v>9</v>
      </c>
      <c r="J18" s="115" t="s">
        <v>142</v>
      </c>
      <c r="K18" s="76">
        <v>9</v>
      </c>
      <c r="L18" s="79"/>
      <c r="M18" s="76"/>
      <c r="N18" s="76">
        <f t="shared" si="1"/>
        <v>27</v>
      </c>
      <c r="O18" s="76">
        <f t="shared" si="0"/>
        <v>0.73000000000000043</v>
      </c>
      <c r="P18" s="82">
        <f t="shared" si="2"/>
        <v>46235</v>
      </c>
      <c r="Q18" s="82">
        <f t="shared" si="3"/>
        <v>46242</v>
      </c>
      <c r="R18" s="81">
        <f t="shared" si="4"/>
        <v>46256</v>
      </c>
      <c r="S18" s="82" t="s">
        <v>91</v>
      </c>
      <c r="T18" s="82" t="s">
        <v>91</v>
      </c>
      <c r="U18" s="78"/>
    </row>
    <row r="19" spans="1:21" x14ac:dyDescent="0.25">
      <c r="A19" s="181"/>
      <c r="B19" s="4">
        <v>15</v>
      </c>
      <c r="C19" s="171">
        <v>26.27</v>
      </c>
      <c r="D19" s="172"/>
      <c r="E19" s="78">
        <v>46231</v>
      </c>
      <c r="F19" s="115" t="s">
        <v>214</v>
      </c>
      <c r="G19" s="76">
        <v>9</v>
      </c>
      <c r="H19" s="115" t="s">
        <v>215</v>
      </c>
      <c r="I19" s="76">
        <v>9</v>
      </c>
      <c r="J19" s="115" t="s">
        <v>216</v>
      </c>
      <c r="K19" s="76">
        <v>9</v>
      </c>
      <c r="L19" s="79"/>
      <c r="M19" s="76"/>
      <c r="N19" s="76">
        <f t="shared" si="1"/>
        <v>27</v>
      </c>
      <c r="O19" s="76">
        <f t="shared" si="0"/>
        <v>0.73000000000000043</v>
      </c>
      <c r="P19" s="82">
        <f t="shared" si="2"/>
        <v>46238</v>
      </c>
      <c r="Q19" s="82">
        <f t="shared" si="3"/>
        <v>46245</v>
      </c>
      <c r="R19" s="78">
        <f t="shared" si="4"/>
        <v>46259</v>
      </c>
      <c r="S19" s="82" t="s">
        <v>91</v>
      </c>
      <c r="T19" s="82" t="s">
        <v>91</v>
      </c>
      <c r="U19" s="78"/>
    </row>
    <row r="20" spans="1:21" x14ac:dyDescent="0.25">
      <c r="A20" s="181"/>
      <c r="B20" s="4">
        <v>16</v>
      </c>
      <c r="C20" s="171">
        <v>26.27</v>
      </c>
      <c r="D20" s="172"/>
      <c r="E20" s="78">
        <v>46232</v>
      </c>
      <c r="F20" s="115" t="s">
        <v>238</v>
      </c>
      <c r="G20" s="76">
        <v>9</v>
      </c>
      <c r="H20" s="115" t="s">
        <v>239</v>
      </c>
      <c r="I20" s="76">
        <v>9</v>
      </c>
      <c r="J20" s="115" t="s">
        <v>240</v>
      </c>
      <c r="K20" s="76">
        <v>9</v>
      </c>
      <c r="L20" s="79"/>
      <c r="M20" s="76"/>
      <c r="N20" s="76">
        <f t="shared" si="1"/>
        <v>27</v>
      </c>
      <c r="O20" s="76">
        <f t="shared" si="0"/>
        <v>0.73000000000000043</v>
      </c>
      <c r="P20" s="82">
        <f t="shared" si="2"/>
        <v>46239</v>
      </c>
      <c r="Q20" s="82">
        <f t="shared" si="3"/>
        <v>46246</v>
      </c>
      <c r="R20" s="78">
        <f t="shared" si="4"/>
        <v>46260</v>
      </c>
      <c r="S20" s="82" t="s">
        <v>91</v>
      </c>
      <c r="T20" s="82" t="s">
        <v>91</v>
      </c>
      <c r="U20" s="78"/>
    </row>
    <row r="21" spans="1:21" x14ac:dyDescent="0.25">
      <c r="A21" s="181"/>
      <c r="B21" s="4">
        <v>17</v>
      </c>
      <c r="C21" s="171">
        <v>26.27</v>
      </c>
      <c r="D21" s="172"/>
      <c r="E21" s="78">
        <v>46230</v>
      </c>
      <c r="F21" s="115" t="s">
        <v>186</v>
      </c>
      <c r="G21" s="76">
        <v>9</v>
      </c>
      <c r="H21" s="115" t="s">
        <v>187</v>
      </c>
      <c r="I21" s="76">
        <v>9</v>
      </c>
      <c r="J21" s="115" t="s">
        <v>188</v>
      </c>
      <c r="K21" s="76">
        <v>9</v>
      </c>
      <c r="L21" s="79"/>
      <c r="M21" s="76"/>
      <c r="N21" s="76">
        <f t="shared" si="1"/>
        <v>27</v>
      </c>
      <c r="O21" s="76">
        <f t="shared" si="0"/>
        <v>0.73000000000000043</v>
      </c>
      <c r="P21" s="82">
        <f t="shared" si="2"/>
        <v>46237</v>
      </c>
      <c r="Q21" s="82">
        <f t="shared" si="3"/>
        <v>46244</v>
      </c>
      <c r="R21" s="78">
        <f t="shared" si="4"/>
        <v>46258</v>
      </c>
      <c r="S21" s="82" t="s">
        <v>91</v>
      </c>
      <c r="T21" s="82" t="s">
        <v>91</v>
      </c>
      <c r="U21" s="78"/>
    </row>
    <row r="22" spans="1:21" x14ac:dyDescent="0.25">
      <c r="A22" s="181"/>
      <c r="B22" s="4">
        <v>18</v>
      </c>
      <c r="C22" s="171">
        <v>26.27</v>
      </c>
      <c r="D22" s="172"/>
      <c r="E22" s="78">
        <v>46231</v>
      </c>
      <c r="F22" s="115" t="s">
        <v>202</v>
      </c>
      <c r="G22" s="76">
        <v>9</v>
      </c>
      <c r="H22" s="115" t="s">
        <v>203</v>
      </c>
      <c r="I22" s="76">
        <v>9</v>
      </c>
      <c r="J22" s="115" t="s">
        <v>204</v>
      </c>
      <c r="K22" s="76">
        <v>9</v>
      </c>
      <c r="L22" s="79"/>
      <c r="M22" s="76"/>
      <c r="N22" s="76">
        <f t="shared" si="1"/>
        <v>27</v>
      </c>
      <c r="O22" s="76">
        <f t="shared" si="0"/>
        <v>0.73000000000000043</v>
      </c>
      <c r="P22" s="82">
        <f t="shared" si="2"/>
        <v>46238</v>
      </c>
      <c r="Q22" s="82">
        <f t="shared" si="3"/>
        <v>46245</v>
      </c>
      <c r="R22" s="78">
        <f t="shared" si="4"/>
        <v>46259</v>
      </c>
      <c r="S22" s="82" t="s">
        <v>91</v>
      </c>
      <c r="T22" s="82" t="s">
        <v>91</v>
      </c>
      <c r="U22" s="78"/>
    </row>
    <row r="23" spans="1:21" x14ac:dyDescent="0.25">
      <c r="A23" s="181"/>
      <c r="B23" s="4">
        <v>19</v>
      </c>
      <c r="C23" s="171">
        <v>26.27</v>
      </c>
      <c r="D23" s="172"/>
      <c r="E23" s="78">
        <v>46232</v>
      </c>
      <c r="F23" s="115" t="s">
        <v>226</v>
      </c>
      <c r="G23" s="76">
        <v>9</v>
      </c>
      <c r="H23" s="115" t="s">
        <v>234</v>
      </c>
      <c r="I23" s="76">
        <v>9</v>
      </c>
      <c r="J23" s="115" t="s">
        <v>233</v>
      </c>
      <c r="K23" s="76">
        <v>9</v>
      </c>
      <c r="L23" s="79"/>
      <c r="M23" s="76"/>
      <c r="N23" s="76">
        <f t="shared" si="1"/>
        <v>27</v>
      </c>
      <c r="O23" s="76">
        <f t="shared" si="0"/>
        <v>0.73000000000000043</v>
      </c>
      <c r="P23" s="82">
        <f t="shared" si="2"/>
        <v>46239</v>
      </c>
      <c r="Q23" s="82">
        <f t="shared" si="3"/>
        <v>46246</v>
      </c>
      <c r="R23" s="78">
        <f t="shared" si="4"/>
        <v>46260</v>
      </c>
      <c r="S23" s="82" t="s">
        <v>91</v>
      </c>
      <c r="T23" s="82" t="s">
        <v>91</v>
      </c>
      <c r="U23" s="78"/>
    </row>
    <row r="24" spans="1:21" x14ac:dyDescent="0.25">
      <c r="A24" s="181"/>
      <c r="B24" s="4">
        <v>20</v>
      </c>
      <c r="C24" s="171">
        <v>26.27</v>
      </c>
      <c r="D24" s="172"/>
      <c r="E24" s="78">
        <v>46232</v>
      </c>
      <c r="F24" s="115" t="s">
        <v>241</v>
      </c>
      <c r="G24" s="76">
        <v>9</v>
      </c>
      <c r="H24" s="115" t="s">
        <v>242</v>
      </c>
      <c r="I24" s="76">
        <v>9</v>
      </c>
      <c r="J24" s="115" t="s">
        <v>243</v>
      </c>
      <c r="K24" s="76">
        <v>9</v>
      </c>
      <c r="L24" s="79"/>
      <c r="M24" s="76"/>
      <c r="N24" s="76">
        <f t="shared" si="1"/>
        <v>27</v>
      </c>
      <c r="O24" s="76">
        <f t="shared" si="0"/>
        <v>0.73000000000000043</v>
      </c>
      <c r="P24" s="82">
        <f t="shared" si="2"/>
        <v>46239</v>
      </c>
      <c r="Q24" s="82">
        <f t="shared" si="3"/>
        <v>46246</v>
      </c>
      <c r="R24" s="78">
        <f t="shared" si="4"/>
        <v>46260</v>
      </c>
      <c r="S24" s="82" t="s">
        <v>91</v>
      </c>
      <c r="T24" s="82" t="s">
        <v>91</v>
      </c>
      <c r="U24" s="78"/>
    </row>
    <row r="25" spans="1:21" x14ac:dyDescent="0.25">
      <c r="A25" s="181"/>
      <c r="B25" s="4">
        <v>21</v>
      </c>
      <c r="C25" s="171">
        <v>26.27</v>
      </c>
      <c r="D25" s="172"/>
      <c r="E25" s="78">
        <v>46233</v>
      </c>
      <c r="F25" s="115" t="s">
        <v>269</v>
      </c>
      <c r="G25" s="76">
        <v>9</v>
      </c>
      <c r="H25" s="115" t="s">
        <v>270</v>
      </c>
      <c r="I25" s="76">
        <v>9</v>
      </c>
      <c r="J25" s="115" t="s">
        <v>271</v>
      </c>
      <c r="K25" s="76">
        <v>9</v>
      </c>
      <c r="L25" s="79"/>
      <c r="M25" s="76"/>
      <c r="N25" s="76">
        <f t="shared" si="1"/>
        <v>27</v>
      </c>
      <c r="O25" s="76">
        <f t="shared" si="0"/>
        <v>0.73000000000000043</v>
      </c>
      <c r="P25" s="82">
        <f t="shared" si="2"/>
        <v>46240</v>
      </c>
      <c r="Q25" s="82">
        <f t="shared" si="3"/>
        <v>46247</v>
      </c>
      <c r="R25" s="78">
        <f t="shared" si="4"/>
        <v>46261</v>
      </c>
      <c r="S25" s="82" t="s">
        <v>91</v>
      </c>
      <c r="T25" s="82" t="s">
        <v>91</v>
      </c>
      <c r="U25" s="78"/>
    </row>
    <row r="26" spans="1:21" x14ac:dyDescent="0.25">
      <c r="A26" s="181"/>
      <c r="B26" s="4">
        <v>22</v>
      </c>
      <c r="C26" s="171">
        <v>26.27</v>
      </c>
      <c r="D26" s="172"/>
      <c r="E26" s="78">
        <v>46233</v>
      </c>
      <c r="F26" s="115" t="s">
        <v>266</v>
      </c>
      <c r="G26" s="76">
        <v>9</v>
      </c>
      <c r="H26" s="115" t="s">
        <v>267</v>
      </c>
      <c r="I26" s="76">
        <v>9</v>
      </c>
      <c r="J26" s="115" t="s">
        <v>268</v>
      </c>
      <c r="K26" s="76">
        <v>9</v>
      </c>
      <c r="L26" s="79"/>
      <c r="M26" s="76"/>
      <c r="N26" s="76">
        <f t="shared" si="1"/>
        <v>27</v>
      </c>
      <c r="O26" s="76">
        <f t="shared" si="0"/>
        <v>0.73000000000000043</v>
      </c>
      <c r="P26" s="82">
        <f t="shared" si="2"/>
        <v>46240</v>
      </c>
      <c r="Q26" s="82">
        <f t="shared" si="3"/>
        <v>46247</v>
      </c>
      <c r="R26" s="78">
        <f t="shared" si="4"/>
        <v>46261</v>
      </c>
      <c r="S26" s="82" t="s">
        <v>91</v>
      </c>
      <c r="T26" s="82" t="s">
        <v>91</v>
      </c>
      <c r="U26" s="78"/>
    </row>
    <row r="27" spans="1:21" x14ac:dyDescent="0.25">
      <c r="A27" s="181"/>
      <c r="B27" s="4">
        <v>23</v>
      </c>
      <c r="C27" s="171">
        <v>26.27</v>
      </c>
      <c r="D27" s="172"/>
      <c r="E27" s="78">
        <v>46230</v>
      </c>
      <c r="F27" s="115" t="s">
        <v>199</v>
      </c>
      <c r="G27" s="76">
        <v>9</v>
      </c>
      <c r="H27" s="115" t="s">
        <v>200</v>
      </c>
      <c r="I27" s="76">
        <v>9</v>
      </c>
      <c r="J27" s="115" t="s">
        <v>201</v>
      </c>
      <c r="K27" s="76">
        <v>9</v>
      </c>
      <c r="L27" s="79"/>
      <c r="M27" s="76"/>
      <c r="N27" s="76">
        <f t="shared" si="1"/>
        <v>27</v>
      </c>
      <c r="O27" s="76">
        <f t="shared" si="0"/>
        <v>0.73000000000000043</v>
      </c>
      <c r="P27" s="82">
        <f t="shared" si="2"/>
        <v>46237</v>
      </c>
      <c r="Q27" s="82">
        <f t="shared" si="3"/>
        <v>46244</v>
      </c>
      <c r="R27" s="78">
        <f t="shared" si="4"/>
        <v>46258</v>
      </c>
      <c r="S27" s="82" t="s">
        <v>91</v>
      </c>
      <c r="T27" s="82" t="s">
        <v>91</v>
      </c>
      <c r="U27" s="78"/>
    </row>
    <row r="28" spans="1:21" x14ac:dyDescent="0.25">
      <c r="A28" s="182"/>
      <c r="B28" s="4">
        <v>24</v>
      </c>
      <c r="C28" s="171">
        <v>26.27</v>
      </c>
      <c r="D28" s="172"/>
      <c r="E28" s="78">
        <v>46231</v>
      </c>
      <c r="F28" s="115" t="s">
        <v>208</v>
      </c>
      <c r="G28" s="76">
        <v>9</v>
      </c>
      <c r="H28" s="115" t="s">
        <v>209</v>
      </c>
      <c r="I28" s="76">
        <v>9</v>
      </c>
      <c r="J28" s="115" t="s">
        <v>210</v>
      </c>
      <c r="K28" s="76">
        <v>9</v>
      </c>
      <c r="L28" s="79"/>
      <c r="M28" s="76"/>
      <c r="N28" s="76">
        <f t="shared" si="1"/>
        <v>27</v>
      </c>
      <c r="O28" s="76">
        <f t="shared" si="0"/>
        <v>0.73000000000000043</v>
      </c>
      <c r="P28" s="82">
        <f t="shared" si="2"/>
        <v>46238</v>
      </c>
      <c r="Q28" s="82">
        <f t="shared" si="3"/>
        <v>46245</v>
      </c>
      <c r="R28" s="78">
        <f t="shared" si="4"/>
        <v>46259</v>
      </c>
      <c r="S28" s="82" t="s">
        <v>91</v>
      </c>
      <c r="T28" s="82" t="s">
        <v>91</v>
      </c>
      <c r="U28" s="78"/>
    </row>
    <row r="29" spans="1:21" x14ac:dyDescent="0.25">
      <c r="A29" s="74" t="s">
        <v>68</v>
      </c>
      <c r="B29" s="77"/>
      <c r="C29" s="171">
        <f>SUM(C5:D28)</f>
        <v>630.47999999999979</v>
      </c>
      <c r="D29" s="172"/>
      <c r="E29" s="174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</row>
  </sheetData>
  <autoFilter ref="A4:U29" xr:uid="{18C15FBC-63E8-4B99-B2A3-1F7677E109B7}">
    <filterColumn colId="2" showButton="0"/>
  </autoFilter>
  <mergeCells count="46">
    <mergeCell ref="E29:U29"/>
    <mergeCell ref="H1:H4"/>
    <mergeCell ref="A1:B3"/>
    <mergeCell ref="C1:D4"/>
    <mergeCell ref="E1:E4"/>
    <mergeCell ref="F1:F4"/>
    <mergeCell ref="G1:G4"/>
    <mergeCell ref="T1:T4"/>
    <mergeCell ref="I1:I4"/>
    <mergeCell ref="J1:J4"/>
    <mergeCell ref="K1:K4"/>
    <mergeCell ref="L1:L4"/>
    <mergeCell ref="M1:M4"/>
    <mergeCell ref="N1:N4"/>
    <mergeCell ref="C18:D18"/>
    <mergeCell ref="U1:U4"/>
    <mergeCell ref="A5:A28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9:D19"/>
    <mergeCell ref="C20:D20"/>
    <mergeCell ref="O1:O4"/>
    <mergeCell ref="P1:P4"/>
    <mergeCell ref="Q1:Q4"/>
    <mergeCell ref="R1:R4"/>
    <mergeCell ref="S1:S4"/>
    <mergeCell ref="C26:D26"/>
    <mergeCell ref="C27:D27"/>
    <mergeCell ref="C28:D28"/>
    <mergeCell ref="C29:D29"/>
    <mergeCell ref="C21:D21"/>
    <mergeCell ref="C22:D22"/>
    <mergeCell ref="C23:D23"/>
    <mergeCell ref="C24:D24"/>
    <mergeCell ref="C25:D2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B2479-4B18-4E6A-80E6-E307BD7EFE98}">
  <dimension ref="A1:U29"/>
  <sheetViews>
    <sheetView topLeftCell="D1" zoomScale="55" zoomScaleNormal="55" workbookViewId="0">
      <selection activeCell="R41" sqref="R41"/>
    </sheetView>
  </sheetViews>
  <sheetFormatPr defaultRowHeight="15" x14ac:dyDescent="0.25"/>
  <cols>
    <col min="2" max="3" width="10.7109375" customWidth="1"/>
    <col min="4" max="4" width="11.28515625" customWidth="1"/>
    <col min="5" max="5" width="17.140625" customWidth="1"/>
    <col min="6" max="15" width="16.85546875" customWidth="1"/>
    <col min="16" max="17" width="17.140625" customWidth="1"/>
    <col min="18" max="18" width="18.140625" customWidth="1"/>
    <col min="19" max="20" width="17.28515625" customWidth="1"/>
    <col min="21" max="21" width="18.7109375" customWidth="1"/>
  </cols>
  <sheetData>
    <row r="1" spans="1:21" ht="15" customHeight="1" x14ac:dyDescent="0.25">
      <c r="A1" s="128" t="s">
        <v>89</v>
      </c>
      <c r="B1" s="128"/>
      <c r="C1" s="174" t="s">
        <v>69</v>
      </c>
      <c r="D1" s="175"/>
      <c r="E1" s="173" t="s">
        <v>67</v>
      </c>
      <c r="F1" s="183" t="s">
        <v>70</v>
      </c>
      <c r="G1" s="187" t="s">
        <v>71</v>
      </c>
      <c r="H1" s="183" t="s">
        <v>70</v>
      </c>
      <c r="I1" s="187" t="s">
        <v>71</v>
      </c>
      <c r="J1" s="183" t="s">
        <v>70</v>
      </c>
      <c r="K1" s="187" t="s">
        <v>71</v>
      </c>
      <c r="L1" s="183" t="s">
        <v>70</v>
      </c>
      <c r="M1" s="187" t="s">
        <v>71</v>
      </c>
      <c r="N1" s="183" t="s">
        <v>68</v>
      </c>
      <c r="O1" s="183" t="s">
        <v>74</v>
      </c>
      <c r="P1" s="170" t="s">
        <v>72</v>
      </c>
      <c r="Q1" s="170" t="s">
        <v>78</v>
      </c>
      <c r="R1" s="170" t="s">
        <v>73</v>
      </c>
      <c r="S1" s="170" t="s">
        <v>76</v>
      </c>
      <c r="T1" s="170" t="s">
        <v>79</v>
      </c>
      <c r="U1" s="170" t="s">
        <v>77</v>
      </c>
    </row>
    <row r="2" spans="1:21" x14ac:dyDescent="0.25">
      <c r="A2" s="128"/>
      <c r="B2" s="128"/>
      <c r="C2" s="176"/>
      <c r="D2" s="177"/>
      <c r="E2" s="173"/>
      <c r="F2" s="184"/>
      <c r="G2" s="188"/>
      <c r="H2" s="184"/>
      <c r="I2" s="188"/>
      <c r="J2" s="184"/>
      <c r="K2" s="188"/>
      <c r="L2" s="184"/>
      <c r="M2" s="188"/>
      <c r="N2" s="184"/>
      <c r="O2" s="184"/>
      <c r="P2" s="170"/>
      <c r="Q2" s="170"/>
      <c r="R2" s="170"/>
      <c r="S2" s="170"/>
      <c r="T2" s="170"/>
      <c r="U2" s="170"/>
    </row>
    <row r="3" spans="1:21" ht="15" customHeight="1" x14ac:dyDescent="0.25">
      <c r="A3" s="128"/>
      <c r="B3" s="128"/>
      <c r="C3" s="176"/>
      <c r="D3" s="177"/>
      <c r="E3" s="173"/>
      <c r="F3" s="184"/>
      <c r="G3" s="188"/>
      <c r="H3" s="184"/>
      <c r="I3" s="188"/>
      <c r="J3" s="184"/>
      <c r="K3" s="188"/>
      <c r="L3" s="184"/>
      <c r="M3" s="188"/>
      <c r="N3" s="184"/>
      <c r="O3" s="184"/>
      <c r="P3" s="170"/>
      <c r="Q3" s="170"/>
      <c r="R3" s="170"/>
      <c r="S3" s="170"/>
      <c r="T3" s="170"/>
      <c r="U3" s="170"/>
    </row>
    <row r="4" spans="1:21" x14ac:dyDescent="0.25">
      <c r="A4" s="2" t="s">
        <v>0</v>
      </c>
      <c r="B4" s="75" t="s">
        <v>88</v>
      </c>
      <c r="C4" s="178"/>
      <c r="D4" s="179"/>
      <c r="E4" s="173"/>
      <c r="F4" s="185"/>
      <c r="G4" s="189"/>
      <c r="H4" s="185"/>
      <c r="I4" s="189"/>
      <c r="J4" s="185"/>
      <c r="K4" s="189"/>
      <c r="L4" s="185"/>
      <c r="M4" s="189"/>
      <c r="N4" s="185"/>
      <c r="O4" s="185"/>
      <c r="P4" s="170"/>
      <c r="Q4" s="170"/>
      <c r="R4" s="170"/>
      <c r="S4" s="170"/>
      <c r="T4" s="170"/>
      <c r="U4" s="170"/>
    </row>
    <row r="5" spans="1:21" x14ac:dyDescent="0.25">
      <c r="A5" s="180" t="s">
        <v>25</v>
      </c>
      <c r="B5" s="4">
        <v>1</v>
      </c>
      <c r="C5" s="171">
        <v>26.27</v>
      </c>
      <c r="D5" s="172"/>
      <c r="E5" s="78">
        <v>46213</v>
      </c>
      <c r="F5" s="114" t="s">
        <v>428</v>
      </c>
      <c r="G5" s="76">
        <v>10</v>
      </c>
      <c r="H5" s="114" t="s">
        <v>429</v>
      </c>
      <c r="I5" s="76">
        <v>9</v>
      </c>
      <c r="J5" s="114" t="s">
        <v>430</v>
      </c>
      <c r="K5" s="76">
        <v>9</v>
      </c>
      <c r="L5" s="76"/>
      <c r="M5" s="76"/>
      <c r="N5" s="76">
        <f>G5+I5+K5+M5</f>
        <v>28</v>
      </c>
      <c r="O5" s="76">
        <f>N5-C5</f>
        <v>1.7300000000000004</v>
      </c>
      <c r="P5" s="82">
        <f>E5+7</f>
        <v>46220</v>
      </c>
      <c r="Q5" s="82">
        <f>E5+14</f>
        <v>46227</v>
      </c>
      <c r="R5" s="82">
        <f>E5+28</f>
        <v>46241</v>
      </c>
      <c r="S5" s="82" t="s">
        <v>91</v>
      </c>
      <c r="T5" s="82" t="s">
        <v>91</v>
      </c>
      <c r="U5" s="82" t="s">
        <v>91</v>
      </c>
    </row>
    <row r="6" spans="1:21" x14ac:dyDescent="0.25">
      <c r="A6" s="181"/>
      <c r="B6" s="4">
        <v>2</v>
      </c>
      <c r="C6" s="171">
        <v>26.27</v>
      </c>
      <c r="D6" s="172"/>
      <c r="E6" s="78">
        <v>46224</v>
      </c>
      <c r="F6" s="114" t="s">
        <v>413</v>
      </c>
      <c r="G6" s="76">
        <v>9</v>
      </c>
      <c r="H6" s="114" t="s">
        <v>414</v>
      </c>
      <c r="I6" s="76">
        <v>9</v>
      </c>
      <c r="J6" s="114" t="s">
        <v>415</v>
      </c>
      <c r="K6" s="76">
        <v>9</v>
      </c>
      <c r="L6" s="76"/>
      <c r="M6" s="76"/>
      <c r="N6" s="76">
        <f t="shared" ref="N6:N28" si="0">G6+I6+K6+M6</f>
        <v>27</v>
      </c>
      <c r="O6" s="76">
        <f>N6-C6</f>
        <v>0.73000000000000043</v>
      </c>
      <c r="P6" s="82">
        <f t="shared" ref="P6:P28" si="1">E6+7</f>
        <v>46231</v>
      </c>
      <c r="Q6" s="82">
        <f t="shared" ref="Q6:Q28" si="2">E6+14</f>
        <v>46238</v>
      </c>
      <c r="R6" s="81">
        <f t="shared" ref="R6:R28" si="3">E6+28</f>
        <v>46252</v>
      </c>
      <c r="S6" s="82" t="s">
        <v>91</v>
      </c>
      <c r="T6" s="82" t="s">
        <v>91</v>
      </c>
      <c r="U6" s="78"/>
    </row>
    <row r="7" spans="1:21" x14ac:dyDescent="0.25">
      <c r="A7" s="181"/>
      <c r="B7" s="4">
        <v>3</v>
      </c>
      <c r="C7" s="171">
        <v>26.27</v>
      </c>
      <c r="D7" s="172"/>
      <c r="E7" s="78">
        <v>46228</v>
      </c>
      <c r="F7" s="114" t="s">
        <v>134</v>
      </c>
      <c r="G7" s="76">
        <v>9</v>
      </c>
      <c r="H7" s="114" t="s">
        <v>135</v>
      </c>
      <c r="I7" s="76">
        <v>9</v>
      </c>
      <c r="J7" s="114" t="s">
        <v>136</v>
      </c>
      <c r="K7" s="76">
        <v>9</v>
      </c>
      <c r="L7" s="76"/>
      <c r="M7" s="76"/>
      <c r="N7" s="76">
        <f t="shared" si="0"/>
        <v>27</v>
      </c>
      <c r="O7" s="76">
        <f t="shared" ref="O7:O28" si="4">N7-C7</f>
        <v>0.73000000000000043</v>
      </c>
      <c r="P7" s="82">
        <f t="shared" si="1"/>
        <v>46235</v>
      </c>
      <c r="Q7" s="82">
        <f t="shared" si="2"/>
        <v>46242</v>
      </c>
      <c r="R7" s="81">
        <f t="shared" si="3"/>
        <v>46256</v>
      </c>
      <c r="S7" s="82" t="s">
        <v>91</v>
      </c>
      <c r="T7" s="82" t="s">
        <v>91</v>
      </c>
      <c r="U7" s="78" t="s">
        <v>75</v>
      </c>
    </row>
    <row r="8" spans="1:21" x14ac:dyDescent="0.25">
      <c r="A8" s="181"/>
      <c r="B8" s="4">
        <v>4</v>
      </c>
      <c r="C8" s="171">
        <v>26.27</v>
      </c>
      <c r="D8" s="172"/>
      <c r="E8" s="78">
        <v>46225</v>
      </c>
      <c r="F8" s="114" t="s">
        <v>404</v>
      </c>
      <c r="G8" s="76">
        <v>9</v>
      </c>
      <c r="H8" s="114" t="s">
        <v>411</v>
      </c>
      <c r="I8" s="76">
        <v>9</v>
      </c>
      <c r="J8" s="114" t="s">
        <v>412</v>
      </c>
      <c r="K8" s="76">
        <v>9</v>
      </c>
      <c r="L8" s="76"/>
      <c r="M8" s="76"/>
      <c r="N8" s="76">
        <f t="shared" si="0"/>
        <v>27</v>
      </c>
      <c r="O8" s="76">
        <f t="shared" si="4"/>
        <v>0.73000000000000043</v>
      </c>
      <c r="P8" s="82">
        <f t="shared" si="1"/>
        <v>46232</v>
      </c>
      <c r="Q8" s="82">
        <f t="shared" si="2"/>
        <v>46239</v>
      </c>
      <c r="R8" s="81">
        <f t="shared" si="3"/>
        <v>46253</v>
      </c>
      <c r="S8" s="82" t="s">
        <v>91</v>
      </c>
      <c r="T8" s="82" t="s">
        <v>91</v>
      </c>
      <c r="U8" s="78"/>
    </row>
    <row r="9" spans="1:21" x14ac:dyDescent="0.25">
      <c r="A9" s="181"/>
      <c r="B9" s="4">
        <v>5</v>
      </c>
      <c r="C9" s="171">
        <v>26.27</v>
      </c>
      <c r="D9" s="172"/>
      <c r="E9" s="78">
        <v>46219</v>
      </c>
      <c r="F9" s="114" t="s">
        <v>419</v>
      </c>
      <c r="G9" s="76">
        <v>9.5</v>
      </c>
      <c r="H9" s="115" t="s">
        <v>420</v>
      </c>
      <c r="I9" s="76">
        <v>9</v>
      </c>
      <c r="J9" s="114" t="s">
        <v>421</v>
      </c>
      <c r="K9" s="76">
        <v>9</v>
      </c>
      <c r="L9" s="76"/>
      <c r="M9" s="76"/>
      <c r="N9" s="76">
        <f t="shared" si="0"/>
        <v>27.5</v>
      </c>
      <c r="O9" s="76">
        <f t="shared" si="4"/>
        <v>1.2300000000000004</v>
      </c>
      <c r="P9" s="82">
        <f t="shared" si="1"/>
        <v>46226</v>
      </c>
      <c r="Q9" s="82">
        <f t="shared" si="2"/>
        <v>46233</v>
      </c>
      <c r="R9" s="82">
        <f t="shared" si="3"/>
        <v>46247</v>
      </c>
      <c r="S9" s="82" t="s">
        <v>91</v>
      </c>
      <c r="T9" s="82" t="s">
        <v>91</v>
      </c>
      <c r="U9" s="82" t="s">
        <v>91</v>
      </c>
    </row>
    <row r="10" spans="1:21" x14ac:dyDescent="0.25">
      <c r="A10" s="181"/>
      <c r="B10" s="4">
        <v>6</v>
      </c>
      <c r="C10" s="171">
        <v>26.27</v>
      </c>
      <c r="D10" s="172"/>
      <c r="E10" s="78">
        <v>46214</v>
      </c>
      <c r="F10" s="114" t="s">
        <v>425</v>
      </c>
      <c r="G10" s="76">
        <v>10</v>
      </c>
      <c r="H10" s="114" t="s">
        <v>426</v>
      </c>
      <c r="I10" s="76">
        <v>10</v>
      </c>
      <c r="J10" s="114" t="s">
        <v>427</v>
      </c>
      <c r="K10" s="76">
        <v>8</v>
      </c>
      <c r="L10" s="76"/>
      <c r="M10" s="76"/>
      <c r="N10" s="76">
        <f t="shared" si="0"/>
        <v>28</v>
      </c>
      <c r="O10" s="76">
        <f t="shared" si="4"/>
        <v>1.7300000000000004</v>
      </c>
      <c r="P10" s="82">
        <f t="shared" si="1"/>
        <v>46221</v>
      </c>
      <c r="Q10" s="82">
        <f t="shared" si="2"/>
        <v>46228</v>
      </c>
      <c r="R10" s="82">
        <f t="shared" si="3"/>
        <v>46242</v>
      </c>
      <c r="S10" s="82" t="s">
        <v>91</v>
      </c>
      <c r="T10" s="82" t="s">
        <v>91</v>
      </c>
      <c r="U10" s="82" t="s">
        <v>91</v>
      </c>
    </row>
    <row r="11" spans="1:21" x14ac:dyDescent="0.25">
      <c r="A11" s="181"/>
      <c r="B11" s="4">
        <v>7</v>
      </c>
      <c r="C11" s="171">
        <v>26.27</v>
      </c>
      <c r="D11" s="172"/>
      <c r="E11" s="78">
        <v>46212</v>
      </c>
      <c r="F11" s="115" t="s">
        <v>434</v>
      </c>
      <c r="G11" s="76">
        <v>2.5</v>
      </c>
      <c r="H11" s="115" t="s">
        <v>435</v>
      </c>
      <c r="I11" s="76">
        <v>7</v>
      </c>
      <c r="J11" s="115" t="s">
        <v>436</v>
      </c>
      <c r="K11" s="76">
        <v>7</v>
      </c>
      <c r="L11" s="115" t="s">
        <v>664</v>
      </c>
      <c r="M11" s="76">
        <f>7+6</f>
        <v>13</v>
      </c>
      <c r="N11" s="76">
        <f t="shared" si="0"/>
        <v>29.5</v>
      </c>
      <c r="O11" s="76">
        <f t="shared" si="4"/>
        <v>3.2300000000000004</v>
      </c>
      <c r="P11" s="82">
        <f t="shared" si="1"/>
        <v>46219</v>
      </c>
      <c r="Q11" s="82">
        <f t="shared" si="2"/>
        <v>46226</v>
      </c>
      <c r="R11" s="81">
        <f t="shared" si="3"/>
        <v>46240</v>
      </c>
      <c r="S11" s="82" t="s">
        <v>91</v>
      </c>
      <c r="T11" s="82" t="s">
        <v>91</v>
      </c>
      <c r="U11" s="78"/>
    </row>
    <row r="12" spans="1:21" x14ac:dyDescent="0.25">
      <c r="A12" s="181"/>
      <c r="B12" s="4">
        <v>8</v>
      </c>
      <c r="C12" s="171">
        <v>26.27</v>
      </c>
      <c r="D12" s="172"/>
      <c r="E12" s="78">
        <v>46214</v>
      </c>
      <c r="F12" s="114" t="s">
        <v>422</v>
      </c>
      <c r="G12" s="76">
        <v>9</v>
      </c>
      <c r="H12" s="114" t="s">
        <v>423</v>
      </c>
      <c r="I12" s="76">
        <v>9.5</v>
      </c>
      <c r="J12" s="114" t="s">
        <v>424</v>
      </c>
      <c r="K12" s="76">
        <v>9</v>
      </c>
      <c r="L12" s="76"/>
      <c r="M12" s="76"/>
      <c r="N12" s="76">
        <f t="shared" si="0"/>
        <v>27.5</v>
      </c>
      <c r="O12" s="76">
        <f t="shared" si="4"/>
        <v>1.2300000000000004</v>
      </c>
      <c r="P12" s="82">
        <f t="shared" si="1"/>
        <v>46221</v>
      </c>
      <c r="Q12" s="82">
        <f t="shared" si="2"/>
        <v>46228</v>
      </c>
      <c r="R12" s="82">
        <f t="shared" si="3"/>
        <v>46242</v>
      </c>
      <c r="S12" s="82" t="s">
        <v>91</v>
      </c>
      <c r="T12" s="82" t="s">
        <v>91</v>
      </c>
      <c r="U12" s="82" t="s">
        <v>91</v>
      </c>
    </row>
    <row r="13" spans="1:21" x14ac:dyDescent="0.25">
      <c r="A13" s="181"/>
      <c r="B13" s="4">
        <v>9</v>
      </c>
      <c r="C13" s="171">
        <v>26.27</v>
      </c>
      <c r="D13" s="172"/>
      <c r="E13" s="78">
        <v>46226</v>
      </c>
      <c r="F13" s="114" t="s">
        <v>698</v>
      </c>
      <c r="G13" s="76">
        <v>9</v>
      </c>
      <c r="H13" s="114" t="s">
        <v>699</v>
      </c>
      <c r="I13" s="76">
        <v>9</v>
      </c>
      <c r="J13" s="114" t="s">
        <v>700</v>
      </c>
      <c r="K13" s="76">
        <v>9</v>
      </c>
      <c r="L13" s="76"/>
      <c r="M13" s="76"/>
      <c r="N13" s="76">
        <f t="shared" si="0"/>
        <v>27</v>
      </c>
      <c r="O13" s="76">
        <f t="shared" si="4"/>
        <v>0.73000000000000043</v>
      </c>
      <c r="P13" s="82">
        <f t="shared" si="1"/>
        <v>46233</v>
      </c>
      <c r="Q13" s="82">
        <f t="shared" si="2"/>
        <v>46240</v>
      </c>
      <c r="R13" s="81">
        <f t="shared" si="3"/>
        <v>46254</v>
      </c>
      <c r="S13" s="82" t="s">
        <v>91</v>
      </c>
      <c r="T13" s="82" t="s">
        <v>91</v>
      </c>
      <c r="U13" s="78"/>
    </row>
    <row r="14" spans="1:21" x14ac:dyDescent="0.25">
      <c r="A14" s="181"/>
      <c r="B14" s="4">
        <v>10</v>
      </c>
      <c r="C14" s="171">
        <v>26.27</v>
      </c>
      <c r="D14" s="172"/>
      <c r="E14" s="78">
        <v>46227</v>
      </c>
      <c r="F14" s="114" t="s">
        <v>119</v>
      </c>
      <c r="G14" s="76">
        <v>9</v>
      </c>
      <c r="H14" s="114" t="s">
        <v>120</v>
      </c>
      <c r="I14" s="76">
        <v>9</v>
      </c>
      <c r="J14" s="114" t="s">
        <v>121</v>
      </c>
      <c r="K14" s="76">
        <v>9</v>
      </c>
      <c r="L14" s="76"/>
      <c r="M14" s="76"/>
      <c r="N14" s="76">
        <f t="shared" si="0"/>
        <v>27</v>
      </c>
      <c r="O14" s="76">
        <f t="shared" si="4"/>
        <v>0.73000000000000043</v>
      </c>
      <c r="P14" s="82">
        <f t="shared" si="1"/>
        <v>46234</v>
      </c>
      <c r="Q14" s="82">
        <f t="shared" si="2"/>
        <v>46241</v>
      </c>
      <c r="R14" s="81">
        <f t="shared" si="3"/>
        <v>46255</v>
      </c>
      <c r="S14" s="82" t="s">
        <v>91</v>
      </c>
      <c r="T14" s="82" t="s">
        <v>91</v>
      </c>
      <c r="U14" s="78"/>
    </row>
    <row r="15" spans="1:21" x14ac:dyDescent="0.25">
      <c r="A15" s="181"/>
      <c r="B15" s="4">
        <v>11</v>
      </c>
      <c r="C15" s="171">
        <v>26.27</v>
      </c>
      <c r="D15" s="172"/>
      <c r="E15" s="78">
        <v>46228</v>
      </c>
      <c r="F15" s="115" t="s">
        <v>150</v>
      </c>
      <c r="G15" s="76">
        <v>9</v>
      </c>
      <c r="H15" s="115" t="s">
        <v>151</v>
      </c>
      <c r="I15" s="76">
        <v>9</v>
      </c>
      <c r="J15" s="115" t="s">
        <v>152</v>
      </c>
      <c r="K15" s="76">
        <v>9</v>
      </c>
      <c r="L15" s="76"/>
      <c r="M15" s="76"/>
      <c r="N15" s="76">
        <f t="shared" si="0"/>
        <v>27</v>
      </c>
      <c r="O15" s="76">
        <f t="shared" si="4"/>
        <v>0.73000000000000043</v>
      </c>
      <c r="P15" s="82">
        <f t="shared" si="1"/>
        <v>46235</v>
      </c>
      <c r="Q15" s="82">
        <f t="shared" si="2"/>
        <v>46242</v>
      </c>
      <c r="R15" s="81">
        <f t="shared" si="3"/>
        <v>46256</v>
      </c>
      <c r="S15" s="82" t="s">
        <v>91</v>
      </c>
      <c r="T15" s="82" t="s">
        <v>91</v>
      </c>
      <c r="U15" s="78"/>
    </row>
    <row r="16" spans="1:21" x14ac:dyDescent="0.25">
      <c r="A16" s="181"/>
      <c r="B16" s="4">
        <v>12</v>
      </c>
      <c r="C16" s="171">
        <v>26.27</v>
      </c>
      <c r="D16" s="172"/>
      <c r="E16" s="113">
        <v>46235</v>
      </c>
      <c r="F16" s="115" t="s">
        <v>274</v>
      </c>
      <c r="G16" s="76">
        <v>9</v>
      </c>
      <c r="H16" s="114" t="s">
        <v>272</v>
      </c>
      <c r="I16" s="76">
        <v>9</v>
      </c>
      <c r="J16" s="114" t="s">
        <v>273</v>
      </c>
      <c r="K16" s="76">
        <v>9</v>
      </c>
      <c r="L16" s="76"/>
      <c r="M16" s="76"/>
      <c r="N16" s="76">
        <f t="shared" si="0"/>
        <v>27</v>
      </c>
      <c r="O16" s="76">
        <f t="shared" si="4"/>
        <v>0.73000000000000043</v>
      </c>
      <c r="P16" s="82">
        <f t="shared" si="1"/>
        <v>46242</v>
      </c>
      <c r="Q16" s="81">
        <f t="shared" si="2"/>
        <v>46249</v>
      </c>
      <c r="R16" s="81">
        <f t="shared" si="3"/>
        <v>46263</v>
      </c>
      <c r="S16" s="82" t="s">
        <v>91</v>
      </c>
      <c r="T16" s="81"/>
      <c r="U16" s="78"/>
    </row>
    <row r="17" spans="1:21" x14ac:dyDescent="0.25">
      <c r="A17" s="181"/>
      <c r="B17" s="4">
        <v>13</v>
      </c>
      <c r="C17" s="171">
        <v>26.27</v>
      </c>
      <c r="D17" s="172"/>
      <c r="E17" s="78">
        <v>46213</v>
      </c>
      <c r="F17" s="114" t="s">
        <v>431</v>
      </c>
      <c r="G17" s="76">
        <v>9</v>
      </c>
      <c r="H17" s="114" t="s">
        <v>432</v>
      </c>
      <c r="I17" s="76">
        <v>10</v>
      </c>
      <c r="J17" s="114" t="s">
        <v>433</v>
      </c>
      <c r="K17" s="76">
        <v>10</v>
      </c>
      <c r="L17" s="76"/>
      <c r="M17" s="76"/>
      <c r="N17" s="76">
        <f t="shared" si="0"/>
        <v>29</v>
      </c>
      <c r="O17" s="76">
        <f t="shared" si="4"/>
        <v>2.7300000000000004</v>
      </c>
      <c r="P17" s="82">
        <f t="shared" si="1"/>
        <v>46220</v>
      </c>
      <c r="Q17" s="82">
        <f t="shared" si="2"/>
        <v>46227</v>
      </c>
      <c r="R17" s="82">
        <f t="shared" si="3"/>
        <v>46241</v>
      </c>
      <c r="S17" s="82" t="s">
        <v>91</v>
      </c>
      <c r="T17" s="82" t="s">
        <v>91</v>
      </c>
      <c r="U17" s="82" t="s">
        <v>91</v>
      </c>
    </row>
    <row r="18" spans="1:21" x14ac:dyDescent="0.25">
      <c r="A18" s="181"/>
      <c r="B18" s="4">
        <v>14</v>
      </c>
      <c r="C18" s="171">
        <v>26.27</v>
      </c>
      <c r="D18" s="172"/>
      <c r="E18" s="78">
        <v>46234</v>
      </c>
      <c r="F18" s="115" t="s">
        <v>278</v>
      </c>
      <c r="G18" s="76">
        <v>9</v>
      </c>
      <c r="H18" s="115" t="s">
        <v>279</v>
      </c>
      <c r="I18" s="76">
        <v>9</v>
      </c>
      <c r="J18" s="115" t="s">
        <v>280</v>
      </c>
      <c r="K18" s="76">
        <v>9</v>
      </c>
      <c r="L18" s="115" t="s">
        <v>275</v>
      </c>
      <c r="M18" s="76">
        <v>2</v>
      </c>
      <c r="N18" s="76">
        <f t="shared" si="0"/>
        <v>29</v>
      </c>
      <c r="O18" s="76">
        <f t="shared" si="4"/>
        <v>2.7300000000000004</v>
      </c>
      <c r="P18" s="82">
        <f t="shared" si="1"/>
        <v>46241</v>
      </c>
      <c r="Q18" s="82">
        <f t="shared" si="2"/>
        <v>46248</v>
      </c>
      <c r="R18" s="81">
        <f t="shared" si="3"/>
        <v>46262</v>
      </c>
      <c r="S18" s="82" t="s">
        <v>91</v>
      </c>
      <c r="T18" s="82" t="s">
        <v>91</v>
      </c>
      <c r="U18" s="78"/>
    </row>
    <row r="19" spans="1:21" x14ac:dyDescent="0.25">
      <c r="A19" s="181"/>
      <c r="B19" s="4">
        <v>15</v>
      </c>
      <c r="C19" s="171">
        <v>26.27</v>
      </c>
      <c r="D19" s="172"/>
      <c r="E19" s="78">
        <v>46233</v>
      </c>
      <c r="F19" s="115" t="s">
        <v>281</v>
      </c>
      <c r="G19" s="76">
        <v>9</v>
      </c>
      <c r="H19" s="115" t="s">
        <v>282</v>
      </c>
      <c r="I19" s="76">
        <v>9</v>
      </c>
      <c r="J19" s="115" t="s">
        <v>283</v>
      </c>
      <c r="K19" s="76">
        <v>9</v>
      </c>
      <c r="L19" s="115" t="s">
        <v>284</v>
      </c>
      <c r="M19" s="76">
        <v>2.5</v>
      </c>
      <c r="N19" s="76">
        <f t="shared" si="0"/>
        <v>29.5</v>
      </c>
      <c r="O19" s="76">
        <f t="shared" si="4"/>
        <v>3.2300000000000004</v>
      </c>
      <c r="P19" s="82">
        <f t="shared" si="1"/>
        <v>46240</v>
      </c>
      <c r="Q19" s="82">
        <f t="shared" si="2"/>
        <v>46247</v>
      </c>
      <c r="R19" s="78">
        <f t="shared" si="3"/>
        <v>46261</v>
      </c>
      <c r="S19" s="82" t="s">
        <v>91</v>
      </c>
      <c r="T19" s="82" t="s">
        <v>91</v>
      </c>
      <c r="U19" s="78"/>
    </row>
    <row r="20" spans="1:21" x14ac:dyDescent="0.25">
      <c r="A20" s="181"/>
      <c r="B20" s="4">
        <v>16</v>
      </c>
      <c r="C20" s="171">
        <v>26.27</v>
      </c>
      <c r="D20" s="172"/>
      <c r="E20" s="78">
        <v>46226</v>
      </c>
      <c r="F20" s="115" t="s">
        <v>695</v>
      </c>
      <c r="G20" s="76">
        <v>9</v>
      </c>
      <c r="H20" s="115" t="s">
        <v>696</v>
      </c>
      <c r="I20" s="76">
        <v>9</v>
      </c>
      <c r="J20" s="115" t="s">
        <v>697</v>
      </c>
      <c r="K20" s="76">
        <v>9</v>
      </c>
      <c r="L20" s="79"/>
      <c r="M20" s="76"/>
      <c r="N20" s="76">
        <f t="shared" si="0"/>
        <v>27</v>
      </c>
      <c r="O20" s="76">
        <f t="shared" si="4"/>
        <v>0.73000000000000043</v>
      </c>
      <c r="P20" s="82">
        <f t="shared" si="1"/>
        <v>46233</v>
      </c>
      <c r="Q20" s="82">
        <f t="shared" si="2"/>
        <v>46240</v>
      </c>
      <c r="R20" s="78">
        <f t="shared" si="3"/>
        <v>46254</v>
      </c>
      <c r="S20" s="82" t="s">
        <v>91</v>
      </c>
      <c r="T20" s="82" t="s">
        <v>91</v>
      </c>
      <c r="U20" s="78"/>
    </row>
    <row r="21" spans="1:21" x14ac:dyDescent="0.25">
      <c r="A21" s="181"/>
      <c r="B21" s="4">
        <v>17</v>
      </c>
      <c r="C21" s="171">
        <v>26.27</v>
      </c>
      <c r="D21" s="172"/>
      <c r="E21" s="78">
        <v>46227</v>
      </c>
      <c r="F21" s="115" t="s">
        <v>104</v>
      </c>
      <c r="G21" s="76">
        <v>9</v>
      </c>
      <c r="H21" s="115" t="s">
        <v>105</v>
      </c>
      <c r="I21" s="76">
        <v>9</v>
      </c>
      <c r="J21" s="115" t="s">
        <v>106</v>
      </c>
      <c r="K21" s="76">
        <v>9</v>
      </c>
      <c r="L21" s="79"/>
      <c r="M21" s="76"/>
      <c r="N21" s="76">
        <f t="shared" si="0"/>
        <v>27</v>
      </c>
      <c r="O21" s="76">
        <f t="shared" si="4"/>
        <v>0.73000000000000043</v>
      </c>
      <c r="P21" s="82">
        <f t="shared" si="1"/>
        <v>46234</v>
      </c>
      <c r="Q21" s="82">
        <f t="shared" si="2"/>
        <v>46241</v>
      </c>
      <c r="R21" s="78">
        <f t="shared" si="3"/>
        <v>46255</v>
      </c>
      <c r="S21" s="82" t="s">
        <v>91</v>
      </c>
      <c r="T21" s="82" t="s">
        <v>91</v>
      </c>
      <c r="U21" s="78"/>
    </row>
    <row r="22" spans="1:21" x14ac:dyDescent="0.25">
      <c r="A22" s="181"/>
      <c r="B22" s="4">
        <v>18</v>
      </c>
      <c r="C22" s="171">
        <v>26.27</v>
      </c>
      <c r="D22" s="172"/>
      <c r="E22" s="78">
        <v>46225</v>
      </c>
      <c r="F22" s="115" t="s">
        <v>408</v>
      </c>
      <c r="G22" s="76">
        <v>9</v>
      </c>
      <c r="H22" s="115" t="s">
        <v>409</v>
      </c>
      <c r="I22" s="76">
        <v>9</v>
      </c>
      <c r="J22" s="115" t="s">
        <v>410</v>
      </c>
      <c r="K22" s="76">
        <v>9</v>
      </c>
      <c r="L22" s="79"/>
      <c r="M22" s="76"/>
      <c r="N22" s="76">
        <f t="shared" si="0"/>
        <v>27</v>
      </c>
      <c r="O22" s="76">
        <f t="shared" si="4"/>
        <v>0.73000000000000043</v>
      </c>
      <c r="P22" s="82">
        <f t="shared" si="1"/>
        <v>46232</v>
      </c>
      <c r="Q22" s="82">
        <f t="shared" si="2"/>
        <v>46239</v>
      </c>
      <c r="R22" s="78">
        <f t="shared" si="3"/>
        <v>46253</v>
      </c>
      <c r="S22" s="82" t="s">
        <v>91</v>
      </c>
      <c r="T22" s="82" t="s">
        <v>91</v>
      </c>
      <c r="U22" s="78"/>
    </row>
    <row r="23" spans="1:21" x14ac:dyDescent="0.25">
      <c r="A23" s="181"/>
      <c r="B23" s="4">
        <v>19</v>
      </c>
      <c r="C23" s="171">
        <v>26.27</v>
      </c>
      <c r="D23" s="172"/>
      <c r="E23" s="78">
        <v>46234</v>
      </c>
      <c r="F23" s="115" t="s">
        <v>275</v>
      </c>
      <c r="G23" s="76">
        <v>9</v>
      </c>
      <c r="H23" s="115" t="s">
        <v>276</v>
      </c>
      <c r="I23" s="76">
        <v>9</v>
      </c>
      <c r="J23" s="115" t="s">
        <v>277</v>
      </c>
      <c r="K23" s="76">
        <v>9</v>
      </c>
      <c r="L23" s="79"/>
      <c r="M23" s="76"/>
      <c r="N23" s="76">
        <f t="shared" si="0"/>
        <v>27</v>
      </c>
      <c r="O23" s="76">
        <f t="shared" si="4"/>
        <v>0.73000000000000043</v>
      </c>
      <c r="P23" s="82">
        <f t="shared" si="1"/>
        <v>46241</v>
      </c>
      <c r="Q23" s="82">
        <f t="shared" si="2"/>
        <v>46248</v>
      </c>
      <c r="R23" s="78">
        <f t="shared" si="3"/>
        <v>46262</v>
      </c>
      <c r="S23" s="82" t="s">
        <v>91</v>
      </c>
      <c r="T23" s="82" t="s">
        <v>91</v>
      </c>
      <c r="U23" s="78"/>
    </row>
    <row r="24" spans="1:21" x14ac:dyDescent="0.25">
      <c r="A24" s="181"/>
      <c r="B24" s="4">
        <v>20</v>
      </c>
      <c r="C24" s="171">
        <v>26.27</v>
      </c>
      <c r="D24" s="172"/>
      <c r="E24" s="78">
        <v>46229</v>
      </c>
      <c r="F24" s="115" t="s">
        <v>176</v>
      </c>
      <c r="G24" s="76">
        <v>9</v>
      </c>
      <c r="H24" s="115" t="s">
        <v>177</v>
      </c>
      <c r="I24" s="76">
        <v>9</v>
      </c>
      <c r="J24" s="115" t="s">
        <v>178</v>
      </c>
      <c r="K24" s="76">
        <v>9</v>
      </c>
      <c r="L24" s="79"/>
      <c r="M24" s="76"/>
      <c r="N24" s="76">
        <f t="shared" si="0"/>
        <v>27</v>
      </c>
      <c r="O24" s="76">
        <f t="shared" si="4"/>
        <v>0.73000000000000043</v>
      </c>
      <c r="P24" s="82">
        <f t="shared" si="1"/>
        <v>46236</v>
      </c>
      <c r="Q24" s="82">
        <f t="shared" si="2"/>
        <v>46243</v>
      </c>
      <c r="R24" s="78">
        <f t="shared" si="3"/>
        <v>46257</v>
      </c>
      <c r="S24" s="82" t="s">
        <v>91</v>
      </c>
      <c r="T24" s="82" t="s">
        <v>91</v>
      </c>
      <c r="U24" s="78"/>
    </row>
    <row r="25" spans="1:21" x14ac:dyDescent="0.25">
      <c r="A25" s="181"/>
      <c r="B25" s="4">
        <v>21</v>
      </c>
      <c r="C25" s="171">
        <v>26.27</v>
      </c>
      <c r="D25" s="172"/>
      <c r="E25" s="78">
        <v>46230</v>
      </c>
      <c r="F25" s="115" t="s">
        <v>189</v>
      </c>
      <c r="G25" s="76">
        <v>9</v>
      </c>
      <c r="H25" s="115" t="s">
        <v>190</v>
      </c>
      <c r="I25" s="76">
        <v>9</v>
      </c>
      <c r="J25" s="115" t="s">
        <v>191</v>
      </c>
      <c r="K25" s="76">
        <v>9</v>
      </c>
      <c r="L25" s="79"/>
      <c r="M25" s="76"/>
      <c r="N25" s="76">
        <f t="shared" si="0"/>
        <v>27</v>
      </c>
      <c r="O25" s="76">
        <f t="shared" si="4"/>
        <v>0.73000000000000043</v>
      </c>
      <c r="P25" s="82">
        <f t="shared" si="1"/>
        <v>46237</v>
      </c>
      <c r="Q25" s="82">
        <f t="shared" si="2"/>
        <v>46244</v>
      </c>
      <c r="R25" s="78">
        <f t="shared" si="3"/>
        <v>46258</v>
      </c>
      <c r="S25" s="82" t="s">
        <v>91</v>
      </c>
      <c r="T25" s="82" t="s">
        <v>91</v>
      </c>
      <c r="U25" s="78"/>
    </row>
    <row r="26" spans="1:21" x14ac:dyDescent="0.25">
      <c r="A26" s="181"/>
      <c r="B26" s="4">
        <v>22</v>
      </c>
      <c r="C26" s="171">
        <v>26.27</v>
      </c>
      <c r="D26" s="172"/>
      <c r="E26" s="78">
        <v>46229</v>
      </c>
      <c r="F26" s="115" t="s">
        <v>171</v>
      </c>
      <c r="G26" s="76">
        <v>9</v>
      </c>
      <c r="H26" s="115" t="s">
        <v>172</v>
      </c>
      <c r="I26" s="76">
        <v>9</v>
      </c>
      <c r="J26" s="115" t="s">
        <v>173</v>
      </c>
      <c r="K26" s="76">
        <v>9</v>
      </c>
      <c r="L26" s="79"/>
      <c r="M26" s="76"/>
      <c r="N26" s="76">
        <f t="shared" si="0"/>
        <v>27</v>
      </c>
      <c r="O26" s="76">
        <f t="shared" si="4"/>
        <v>0.73000000000000043</v>
      </c>
      <c r="P26" s="82">
        <f t="shared" si="1"/>
        <v>46236</v>
      </c>
      <c r="Q26" s="82">
        <f t="shared" si="2"/>
        <v>46243</v>
      </c>
      <c r="R26" s="78">
        <f t="shared" si="3"/>
        <v>46257</v>
      </c>
      <c r="S26" s="82" t="s">
        <v>91</v>
      </c>
      <c r="T26" s="82" t="s">
        <v>91</v>
      </c>
      <c r="U26" s="78"/>
    </row>
    <row r="27" spans="1:21" x14ac:dyDescent="0.25">
      <c r="A27" s="181"/>
      <c r="B27" s="4">
        <v>23</v>
      </c>
      <c r="C27" s="171">
        <v>26.27</v>
      </c>
      <c r="D27" s="172"/>
      <c r="E27" s="78">
        <v>46225</v>
      </c>
      <c r="F27" s="115" t="s">
        <v>405</v>
      </c>
      <c r="G27" s="76">
        <v>9</v>
      </c>
      <c r="H27" s="115" t="s">
        <v>406</v>
      </c>
      <c r="I27" s="76">
        <v>9</v>
      </c>
      <c r="J27" s="115" t="s">
        <v>407</v>
      </c>
      <c r="K27" s="76">
        <v>9</v>
      </c>
      <c r="L27" s="79"/>
      <c r="M27" s="76"/>
      <c r="N27" s="76">
        <f t="shared" si="0"/>
        <v>27</v>
      </c>
      <c r="O27" s="76">
        <f t="shared" si="4"/>
        <v>0.73000000000000043</v>
      </c>
      <c r="P27" s="82">
        <f t="shared" si="1"/>
        <v>46232</v>
      </c>
      <c r="Q27" s="82">
        <f t="shared" si="2"/>
        <v>46239</v>
      </c>
      <c r="R27" s="78">
        <f t="shared" si="3"/>
        <v>46253</v>
      </c>
      <c r="S27" s="82" t="s">
        <v>91</v>
      </c>
      <c r="T27" s="82" t="s">
        <v>91</v>
      </c>
      <c r="U27" s="78"/>
    </row>
    <row r="28" spans="1:21" x14ac:dyDescent="0.25">
      <c r="A28" s="182"/>
      <c r="B28" s="4">
        <v>24</v>
      </c>
      <c r="C28" s="171">
        <v>26.27</v>
      </c>
      <c r="D28" s="172"/>
      <c r="E28" s="78">
        <v>46224</v>
      </c>
      <c r="F28" s="115" t="s">
        <v>416</v>
      </c>
      <c r="G28" s="76">
        <v>9.5</v>
      </c>
      <c r="H28" s="115" t="s">
        <v>417</v>
      </c>
      <c r="I28" s="76">
        <v>9</v>
      </c>
      <c r="J28" s="115" t="s">
        <v>418</v>
      </c>
      <c r="K28" s="76">
        <v>9</v>
      </c>
      <c r="L28" s="79"/>
      <c r="M28" s="76"/>
      <c r="N28" s="76">
        <f t="shared" si="0"/>
        <v>27.5</v>
      </c>
      <c r="O28" s="76">
        <f t="shared" si="4"/>
        <v>1.2300000000000004</v>
      </c>
      <c r="P28" s="82">
        <f t="shared" si="1"/>
        <v>46231</v>
      </c>
      <c r="Q28" s="82">
        <f t="shared" si="2"/>
        <v>46238</v>
      </c>
      <c r="R28" s="78">
        <f t="shared" si="3"/>
        <v>46252</v>
      </c>
      <c r="S28" s="82" t="s">
        <v>91</v>
      </c>
      <c r="T28" s="82" t="s">
        <v>91</v>
      </c>
      <c r="U28" s="78"/>
    </row>
    <row r="29" spans="1:21" x14ac:dyDescent="0.25">
      <c r="A29" s="74" t="s">
        <v>68</v>
      </c>
      <c r="B29" s="77"/>
      <c r="C29" s="171">
        <f>SUM(C5:D28)</f>
        <v>630.47999999999979</v>
      </c>
      <c r="D29" s="172"/>
      <c r="E29" s="174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</row>
  </sheetData>
  <autoFilter ref="A4:U29" xr:uid="{400B2479-4B18-4E6A-80E6-E307BD7EFE98}">
    <filterColumn colId="2" showButton="0"/>
  </autoFilter>
  <mergeCells count="46">
    <mergeCell ref="E29:U29"/>
    <mergeCell ref="H1:H4"/>
    <mergeCell ref="A1:B3"/>
    <mergeCell ref="C1:D4"/>
    <mergeCell ref="E1:E4"/>
    <mergeCell ref="F1:F4"/>
    <mergeCell ref="G1:G4"/>
    <mergeCell ref="T1:T4"/>
    <mergeCell ref="I1:I4"/>
    <mergeCell ref="J1:J4"/>
    <mergeCell ref="K1:K4"/>
    <mergeCell ref="L1:L4"/>
    <mergeCell ref="M1:M4"/>
    <mergeCell ref="N1:N4"/>
    <mergeCell ref="C18:D18"/>
    <mergeCell ref="U1:U4"/>
    <mergeCell ref="A5:A28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9:D19"/>
    <mergeCell ref="C20:D20"/>
    <mergeCell ref="O1:O4"/>
    <mergeCell ref="P1:P4"/>
    <mergeCell ref="Q1:Q4"/>
    <mergeCell ref="R1:R4"/>
    <mergeCell ref="S1:S4"/>
    <mergeCell ref="C26:D26"/>
    <mergeCell ref="C27:D27"/>
    <mergeCell ref="C28:D28"/>
    <mergeCell ref="C29:D29"/>
    <mergeCell ref="C21:D21"/>
    <mergeCell ref="C22:D22"/>
    <mergeCell ref="C23:D23"/>
    <mergeCell ref="C24:D24"/>
    <mergeCell ref="C25:D25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17B14-D7AF-4EAF-AA80-74A39D6F152A}">
  <dimension ref="A1:U29"/>
  <sheetViews>
    <sheetView zoomScale="55" zoomScaleNormal="55" workbookViewId="0">
      <selection activeCell="E29" sqref="E29:U29"/>
    </sheetView>
  </sheetViews>
  <sheetFormatPr defaultRowHeight="15" x14ac:dyDescent="0.25"/>
  <cols>
    <col min="2" max="3" width="10.7109375" customWidth="1"/>
    <col min="4" max="4" width="11.28515625" customWidth="1"/>
    <col min="5" max="5" width="16.7109375" customWidth="1"/>
    <col min="6" max="15" width="16.85546875" customWidth="1"/>
    <col min="16" max="17" width="17.140625" customWidth="1"/>
    <col min="18" max="18" width="18.140625" customWidth="1"/>
    <col min="19" max="20" width="17.28515625" customWidth="1"/>
    <col min="21" max="21" width="18.7109375" customWidth="1"/>
  </cols>
  <sheetData>
    <row r="1" spans="1:21" ht="15" customHeight="1" x14ac:dyDescent="0.25">
      <c r="A1" s="128" t="s">
        <v>89</v>
      </c>
      <c r="B1" s="128"/>
      <c r="C1" s="174" t="s">
        <v>69</v>
      </c>
      <c r="D1" s="175"/>
      <c r="E1" s="173" t="s">
        <v>67</v>
      </c>
      <c r="F1" s="183" t="s">
        <v>70</v>
      </c>
      <c r="G1" s="187" t="s">
        <v>71</v>
      </c>
      <c r="H1" s="183" t="s">
        <v>70</v>
      </c>
      <c r="I1" s="187" t="s">
        <v>71</v>
      </c>
      <c r="J1" s="183" t="s">
        <v>70</v>
      </c>
      <c r="K1" s="187" t="s">
        <v>71</v>
      </c>
      <c r="L1" s="183" t="s">
        <v>70</v>
      </c>
      <c r="M1" s="187" t="s">
        <v>71</v>
      </c>
      <c r="N1" s="183" t="s">
        <v>68</v>
      </c>
      <c r="O1" s="183" t="s">
        <v>74</v>
      </c>
      <c r="P1" s="170" t="s">
        <v>72</v>
      </c>
      <c r="Q1" s="170" t="s">
        <v>78</v>
      </c>
      <c r="R1" s="170" t="s">
        <v>73</v>
      </c>
      <c r="S1" s="170" t="s">
        <v>76</v>
      </c>
      <c r="T1" s="170" t="s">
        <v>79</v>
      </c>
      <c r="U1" s="170" t="s">
        <v>77</v>
      </c>
    </row>
    <row r="2" spans="1:21" x14ac:dyDescent="0.25">
      <c r="A2" s="128"/>
      <c r="B2" s="128"/>
      <c r="C2" s="176"/>
      <c r="D2" s="177"/>
      <c r="E2" s="173"/>
      <c r="F2" s="184"/>
      <c r="G2" s="188"/>
      <c r="H2" s="184"/>
      <c r="I2" s="188"/>
      <c r="J2" s="184"/>
      <c r="K2" s="188"/>
      <c r="L2" s="184"/>
      <c r="M2" s="188"/>
      <c r="N2" s="184"/>
      <c r="O2" s="184"/>
      <c r="P2" s="170"/>
      <c r="Q2" s="170"/>
      <c r="R2" s="170"/>
      <c r="S2" s="170"/>
      <c r="T2" s="170"/>
      <c r="U2" s="170"/>
    </row>
    <row r="3" spans="1:21" ht="15" customHeight="1" x14ac:dyDescent="0.25">
      <c r="A3" s="128"/>
      <c r="B3" s="128"/>
      <c r="C3" s="176"/>
      <c r="D3" s="177"/>
      <c r="E3" s="173"/>
      <c r="F3" s="184"/>
      <c r="G3" s="188"/>
      <c r="H3" s="184"/>
      <c r="I3" s="188"/>
      <c r="J3" s="184"/>
      <c r="K3" s="188"/>
      <c r="L3" s="184"/>
      <c r="M3" s="188"/>
      <c r="N3" s="184"/>
      <c r="O3" s="184"/>
      <c r="P3" s="170"/>
      <c r="Q3" s="170"/>
      <c r="R3" s="170"/>
      <c r="S3" s="170"/>
      <c r="T3" s="170"/>
      <c r="U3" s="170"/>
    </row>
    <row r="4" spans="1:21" x14ac:dyDescent="0.25">
      <c r="A4" s="2" t="s">
        <v>0</v>
      </c>
      <c r="B4" s="75" t="s">
        <v>88</v>
      </c>
      <c r="C4" s="178"/>
      <c r="D4" s="179"/>
      <c r="E4" s="173"/>
      <c r="F4" s="185"/>
      <c r="G4" s="189"/>
      <c r="H4" s="185"/>
      <c r="I4" s="189"/>
      <c r="J4" s="185"/>
      <c r="K4" s="189"/>
      <c r="L4" s="185"/>
      <c r="M4" s="189"/>
      <c r="N4" s="185"/>
      <c r="O4" s="185"/>
      <c r="P4" s="170"/>
      <c r="Q4" s="170"/>
      <c r="R4" s="170"/>
      <c r="S4" s="170"/>
      <c r="T4" s="170"/>
      <c r="U4" s="170"/>
    </row>
    <row r="5" spans="1:21" x14ac:dyDescent="0.25">
      <c r="A5" s="180" t="s">
        <v>8</v>
      </c>
      <c r="B5" s="4">
        <v>1</v>
      </c>
      <c r="C5" s="171">
        <v>26.27</v>
      </c>
      <c r="D5" s="172"/>
      <c r="E5" s="78">
        <v>46225</v>
      </c>
      <c r="F5" s="114" t="s">
        <v>443</v>
      </c>
      <c r="G5" s="76">
        <v>9</v>
      </c>
      <c r="H5" s="114" t="s">
        <v>444</v>
      </c>
      <c r="I5" s="76">
        <v>9</v>
      </c>
      <c r="J5" s="114" t="s">
        <v>445</v>
      </c>
      <c r="K5" s="76">
        <v>9</v>
      </c>
      <c r="L5" s="76"/>
      <c r="M5" s="76"/>
      <c r="N5" s="76">
        <f>G5+I5+K5+M5</f>
        <v>27</v>
      </c>
      <c r="O5" s="76">
        <f t="shared" ref="O5:O28" si="0">N5-C5</f>
        <v>0.73000000000000043</v>
      </c>
      <c r="P5" s="82">
        <f>E5+7</f>
        <v>46232</v>
      </c>
      <c r="Q5" s="82">
        <f>E5+14</f>
        <v>46239</v>
      </c>
      <c r="R5" s="81">
        <f>E5+28</f>
        <v>46253</v>
      </c>
      <c r="S5" s="82" t="s">
        <v>91</v>
      </c>
      <c r="T5" s="82" t="s">
        <v>91</v>
      </c>
      <c r="U5" s="78"/>
    </row>
    <row r="6" spans="1:21" x14ac:dyDescent="0.25">
      <c r="A6" s="181"/>
      <c r="B6" s="4">
        <v>2</v>
      </c>
      <c r="C6" s="171">
        <v>26.27</v>
      </c>
      <c r="D6" s="172"/>
      <c r="E6" s="78">
        <v>46226</v>
      </c>
      <c r="F6" s="114" t="s">
        <v>689</v>
      </c>
      <c r="G6" s="76">
        <v>9</v>
      </c>
      <c r="H6" s="114" t="s">
        <v>690</v>
      </c>
      <c r="I6" s="76">
        <v>9</v>
      </c>
      <c r="J6" s="114" t="s">
        <v>691</v>
      </c>
      <c r="K6" s="76">
        <v>9</v>
      </c>
      <c r="L6" s="76"/>
      <c r="M6" s="76"/>
      <c r="N6" s="76">
        <f t="shared" ref="N6:N28" si="1">G6+I6+K6+M6</f>
        <v>27</v>
      </c>
      <c r="O6" s="76">
        <f t="shared" si="0"/>
        <v>0.73000000000000043</v>
      </c>
      <c r="P6" s="82">
        <f t="shared" ref="P6:P28" si="2">E6+7</f>
        <v>46233</v>
      </c>
      <c r="Q6" s="82">
        <f t="shared" ref="Q6:Q28" si="3">E6+14</f>
        <v>46240</v>
      </c>
      <c r="R6" s="81">
        <f t="shared" ref="R6:R28" si="4">E6+28</f>
        <v>46254</v>
      </c>
      <c r="S6" s="82" t="s">
        <v>91</v>
      </c>
      <c r="T6" s="82" t="s">
        <v>91</v>
      </c>
      <c r="U6" s="78"/>
    </row>
    <row r="7" spans="1:21" x14ac:dyDescent="0.25">
      <c r="A7" s="181"/>
      <c r="B7" s="4">
        <v>3</v>
      </c>
      <c r="C7" s="171">
        <v>26.27</v>
      </c>
      <c r="D7" s="172"/>
      <c r="E7" s="78">
        <v>46224</v>
      </c>
      <c r="F7" s="114" t="s">
        <v>446</v>
      </c>
      <c r="G7" s="76">
        <v>9</v>
      </c>
      <c r="H7" s="114" t="s">
        <v>447</v>
      </c>
      <c r="I7" s="76">
        <v>9</v>
      </c>
      <c r="J7" s="114" t="s">
        <v>448</v>
      </c>
      <c r="K7" s="76">
        <v>9</v>
      </c>
      <c r="L7" s="76"/>
      <c r="M7" s="76"/>
      <c r="N7" s="76">
        <f t="shared" si="1"/>
        <v>27</v>
      </c>
      <c r="O7" s="76">
        <f t="shared" si="0"/>
        <v>0.73000000000000043</v>
      </c>
      <c r="P7" s="82">
        <f t="shared" si="2"/>
        <v>46231</v>
      </c>
      <c r="Q7" s="82">
        <f t="shared" si="3"/>
        <v>46238</v>
      </c>
      <c r="R7" s="81">
        <f t="shared" si="4"/>
        <v>46252</v>
      </c>
      <c r="S7" s="82" t="s">
        <v>91</v>
      </c>
      <c r="T7" s="82" t="s">
        <v>91</v>
      </c>
      <c r="U7" s="78" t="s">
        <v>75</v>
      </c>
    </row>
    <row r="8" spans="1:21" x14ac:dyDescent="0.25">
      <c r="A8" s="181"/>
      <c r="B8" s="4">
        <v>4</v>
      </c>
      <c r="C8" s="171">
        <v>26.27</v>
      </c>
      <c r="D8" s="172"/>
      <c r="E8" s="78">
        <v>46222</v>
      </c>
      <c r="F8" s="114" t="s">
        <v>455</v>
      </c>
      <c r="G8" s="76">
        <v>9</v>
      </c>
      <c r="H8" s="114" t="s">
        <v>456</v>
      </c>
      <c r="I8" s="76">
        <v>9</v>
      </c>
      <c r="J8" s="114" t="s">
        <v>457</v>
      </c>
      <c r="K8" s="76">
        <v>9</v>
      </c>
      <c r="L8" s="76"/>
      <c r="M8" s="76"/>
      <c r="N8" s="76">
        <f t="shared" si="1"/>
        <v>27</v>
      </c>
      <c r="O8" s="76">
        <f t="shared" si="0"/>
        <v>0.73000000000000043</v>
      </c>
      <c r="P8" s="82">
        <f t="shared" si="2"/>
        <v>46229</v>
      </c>
      <c r="Q8" s="82">
        <f t="shared" si="3"/>
        <v>46236</v>
      </c>
      <c r="R8" s="81">
        <f t="shared" si="4"/>
        <v>46250</v>
      </c>
      <c r="S8" s="82" t="s">
        <v>91</v>
      </c>
      <c r="T8" s="82" t="s">
        <v>91</v>
      </c>
      <c r="U8" s="78"/>
    </row>
    <row r="9" spans="1:21" x14ac:dyDescent="0.25">
      <c r="A9" s="181"/>
      <c r="B9" s="4">
        <v>5</v>
      </c>
      <c r="C9" s="171">
        <v>26.27</v>
      </c>
      <c r="D9" s="172"/>
      <c r="E9" s="78">
        <v>46224</v>
      </c>
      <c r="F9" s="114" t="s">
        <v>449</v>
      </c>
      <c r="G9" s="76">
        <v>9</v>
      </c>
      <c r="H9" s="114" t="s">
        <v>450</v>
      </c>
      <c r="I9" s="76">
        <v>9</v>
      </c>
      <c r="J9" s="114" t="s">
        <v>451</v>
      </c>
      <c r="K9" s="76">
        <v>9</v>
      </c>
      <c r="L9" s="76"/>
      <c r="M9" s="76"/>
      <c r="N9" s="76">
        <f t="shared" si="1"/>
        <v>27</v>
      </c>
      <c r="O9" s="76">
        <f t="shared" si="0"/>
        <v>0.73000000000000043</v>
      </c>
      <c r="P9" s="82">
        <f t="shared" si="2"/>
        <v>46231</v>
      </c>
      <c r="Q9" s="82">
        <f t="shared" si="3"/>
        <v>46238</v>
      </c>
      <c r="R9" s="81">
        <f t="shared" si="4"/>
        <v>46252</v>
      </c>
      <c r="S9" s="82" t="s">
        <v>91</v>
      </c>
      <c r="T9" s="82" t="s">
        <v>91</v>
      </c>
      <c r="U9" s="78"/>
    </row>
    <row r="10" spans="1:21" x14ac:dyDescent="0.25">
      <c r="A10" s="181"/>
      <c r="B10" s="4">
        <v>6</v>
      </c>
      <c r="C10" s="171">
        <v>26.27</v>
      </c>
      <c r="D10" s="172"/>
      <c r="E10" s="78">
        <v>46221</v>
      </c>
      <c r="F10" s="114" t="s">
        <v>468</v>
      </c>
      <c r="G10" s="76">
        <v>9</v>
      </c>
      <c r="H10" s="114" t="s">
        <v>469</v>
      </c>
      <c r="I10" s="76">
        <v>9</v>
      </c>
      <c r="J10" s="114" t="s">
        <v>470</v>
      </c>
      <c r="K10" s="76">
        <v>9</v>
      </c>
      <c r="L10" s="76"/>
      <c r="M10" s="76"/>
      <c r="N10" s="76">
        <f t="shared" si="1"/>
        <v>27</v>
      </c>
      <c r="O10" s="76">
        <f t="shared" si="0"/>
        <v>0.73000000000000043</v>
      </c>
      <c r="P10" s="82">
        <f t="shared" si="2"/>
        <v>46228</v>
      </c>
      <c r="Q10" s="82">
        <f t="shared" si="3"/>
        <v>46235</v>
      </c>
      <c r="R10" s="81">
        <f t="shared" si="4"/>
        <v>46249</v>
      </c>
      <c r="S10" s="82" t="s">
        <v>91</v>
      </c>
      <c r="T10" s="82" t="s">
        <v>91</v>
      </c>
      <c r="U10" s="78"/>
    </row>
    <row r="11" spans="1:21" x14ac:dyDescent="0.25">
      <c r="A11" s="181"/>
      <c r="B11" s="4">
        <v>7</v>
      </c>
      <c r="C11" s="171">
        <v>26.27</v>
      </c>
      <c r="D11" s="172"/>
      <c r="E11" s="78">
        <v>46224</v>
      </c>
      <c r="F11" s="115" t="s">
        <v>452</v>
      </c>
      <c r="G11" s="76">
        <v>9</v>
      </c>
      <c r="H11" s="115" t="s">
        <v>453</v>
      </c>
      <c r="I11" s="76">
        <v>9</v>
      </c>
      <c r="J11" s="115" t="s">
        <v>454</v>
      </c>
      <c r="K11" s="76">
        <v>9</v>
      </c>
      <c r="L11" s="76"/>
      <c r="M11" s="76"/>
      <c r="N11" s="76">
        <f t="shared" si="1"/>
        <v>27</v>
      </c>
      <c r="O11" s="76">
        <f t="shared" si="0"/>
        <v>0.73000000000000043</v>
      </c>
      <c r="P11" s="82">
        <f t="shared" si="2"/>
        <v>46231</v>
      </c>
      <c r="Q11" s="82">
        <f t="shared" si="3"/>
        <v>46238</v>
      </c>
      <c r="R11" s="81">
        <f t="shared" si="4"/>
        <v>46252</v>
      </c>
      <c r="S11" s="82" t="s">
        <v>91</v>
      </c>
      <c r="T11" s="82" t="s">
        <v>91</v>
      </c>
      <c r="U11" s="78"/>
    </row>
    <row r="12" spans="1:21" x14ac:dyDescent="0.25">
      <c r="A12" s="181"/>
      <c r="B12" s="4">
        <v>8</v>
      </c>
      <c r="C12" s="171">
        <v>26.27</v>
      </c>
      <c r="D12" s="172"/>
      <c r="E12" s="78">
        <v>46220</v>
      </c>
      <c r="F12" s="114" t="s">
        <v>464</v>
      </c>
      <c r="G12" s="76">
        <v>6</v>
      </c>
      <c r="H12" s="114" t="s">
        <v>465</v>
      </c>
      <c r="I12" s="76">
        <v>7</v>
      </c>
      <c r="J12" s="114" t="s">
        <v>466</v>
      </c>
      <c r="K12" s="76">
        <v>7</v>
      </c>
      <c r="L12" s="114" t="s">
        <v>467</v>
      </c>
      <c r="M12" s="76">
        <v>7</v>
      </c>
      <c r="N12" s="76">
        <f t="shared" si="1"/>
        <v>27</v>
      </c>
      <c r="O12" s="76">
        <f t="shared" si="0"/>
        <v>0.73000000000000043</v>
      </c>
      <c r="P12" s="82">
        <f t="shared" si="2"/>
        <v>46227</v>
      </c>
      <c r="Q12" s="82">
        <f t="shared" si="3"/>
        <v>46234</v>
      </c>
      <c r="R12" s="82">
        <f t="shared" si="4"/>
        <v>46248</v>
      </c>
      <c r="S12" s="82" t="s">
        <v>91</v>
      </c>
      <c r="T12" s="82" t="s">
        <v>91</v>
      </c>
      <c r="U12" s="82" t="s">
        <v>91</v>
      </c>
    </row>
    <row r="13" spans="1:21" x14ac:dyDescent="0.25">
      <c r="A13" s="181"/>
      <c r="B13" s="4">
        <v>9</v>
      </c>
      <c r="C13" s="171">
        <v>26.27</v>
      </c>
      <c r="D13" s="172"/>
      <c r="E13" s="78">
        <v>46216</v>
      </c>
      <c r="F13" s="114" t="s">
        <v>830</v>
      </c>
      <c r="G13" s="76">
        <v>10</v>
      </c>
      <c r="H13" s="114" t="s">
        <v>831</v>
      </c>
      <c r="I13" s="76">
        <v>10</v>
      </c>
      <c r="J13" s="114" t="s">
        <v>832</v>
      </c>
      <c r="K13" s="76">
        <v>7.5</v>
      </c>
      <c r="L13" s="76"/>
      <c r="M13" s="76"/>
      <c r="N13" s="76">
        <f t="shared" si="1"/>
        <v>27.5</v>
      </c>
      <c r="O13" s="76">
        <f t="shared" si="0"/>
        <v>1.2300000000000004</v>
      </c>
      <c r="P13" s="82">
        <f t="shared" si="2"/>
        <v>46223</v>
      </c>
      <c r="Q13" s="82">
        <f t="shared" si="3"/>
        <v>46230</v>
      </c>
      <c r="R13" s="82">
        <f t="shared" si="4"/>
        <v>46244</v>
      </c>
      <c r="S13" s="82" t="s">
        <v>91</v>
      </c>
      <c r="T13" s="82" t="s">
        <v>91</v>
      </c>
      <c r="U13" s="82" t="s">
        <v>91</v>
      </c>
    </row>
    <row r="14" spans="1:21" x14ac:dyDescent="0.25">
      <c r="A14" s="181"/>
      <c r="B14" s="4">
        <v>10</v>
      </c>
      <c r="C14" s="171">
        <v>26.27</v>
      </c>
      <c r="D14" s="172"/>
      <c r="E14" s="78">
        <v>46219</v>
      </c>
      <c r="F14" s="114" t="s">
        <v>471</v>
      </c>
      <c r="G14" s="76">
        <v>9</v>
      </c>
      <c r="H14" s="114" t="s">
        <v>472</v>
      </c>
      <c r="I14" s="76">
        <v>9</v>
      </c>
      <c r="J14" s="114" t="s">
        <v>473</v>
      </c>
      <c r="K14" s="76">
        <v>5</v>
      </c>
      <c r="L14" s="114" t="s">
        <v>474</v>
      </c>
      <c r="M14" s="76">
        <v>4</v>
      </c>
      <c r="N14" s="76">
        <f t="shared" si="1"/>
        <v>27</v>
      </c>
      <c r="O14" s="76">
        <f t="shared" si="0"/>
        <v>0.73000000000000043</v>
      </c>
      <c r="P14" s="82">
        <f t="shared" si="2"/>
        <v>46226</v>
      </c>
      <c r="Q14" s="82">
        <f t="shared" si="3"/>
        <v>46233</v>
      </c>
      <c r="R14" s="82">
        <f t="shared" si="4"/>
        <v>46247</v>
      </c>
      <c r="S14" s="82" t="s">
        <v>91</v>
      </c>
      <c r="T14" s="82" t="s">
        <v>91</v>
      </c>
      <c r="U14" s="82" t="s">
        <v>91</v>
      </c>
    </row>
    <row r="15" spans="1:21" x14ac:dyDescent="0.25">
      <c r="A15" s="181"/>
      <c r="B15" s="4">
        <v>11</v>
      </c>
      <c r="C15" s="171">
        <v>26.27</v>
      </c>
      <c r="D15" s="172"/>
      <c r="E15" s="78">
        <v>46217</v>
      </c>
      <c r="F15" s="115" t="s">
        <v>835</v>
      </c>
      <c r="G15" s="76">
        <v>9</v>
      </c>
      <c r="H15" s="115" t="s">
        <v>834</v>
      </c>
      <c r="I15" s="76">
        <v>9</v>
      </c>
      <c r="J15" s="115" t="s">
        <v>833</v>
      </c>
      <c r="K15" s="76">
        <v>9</v>
      </c>
      <c r="L15" s="76"/>
      <c r="M15" s="76"/>
      <c r="N15" s="76">
        <f t="shared" si="1"/>
        <v>27</v>
      </c>
      <c r="O15" s="76">
        <f t="shared" si="0"/>
        <v>0.73000000000000043</v>
      </c>
      <c r="P15" s="82">
        <f t="shared" si="2"/>
        <v>46224</v>
      </c>
      <c r="Q15" s="82">
        <f t="shared" si="3"/>
        <v>46231</v>
      </c>
      <c r="R15" s="82">
        <f t="shared" si="4"/>
        <v>46245</v>
      </c>
      <c r="S15" s="82" t="s">
        <v>91</v>
      </c>
      <c r="T15" s="82" t="s">
        <v>91</v>
      </c>
      <c r="U15" s="82" t="s">
        <v>91</v>
      </c>
    </row>
    <row r="16" spans="1:21" x14ac:dyDescent="0.25">
      <c r="A16" s="181"/>
      <c r="B16" s="4">
        <v>12</v>
      </c>
      <c r="C16" s="171">
        <v>26.27</v>
      </c>
      <c r="D16" s="172"/>
      <c r="E16" s="78">
        <v>46223</v>
      </c>
      <c r="F16" s="115" t="s">
        <v>461</v>
      </c>
      <c r="G16" s="76">
        <v>9</v>
      </c>
      <c r="H16" s="114" t="s">
        <v>462</v>
      </c>
      <c r="I16" s="76">
        <v>9</v>
      </c>
      <c r="J16" s="114" t="s">
        <v>463</v>
      </c>
      <c r="K16" s="76">
        <v>9</v>
      </c>
      <c r="L16" s="76"/>
      <c r="M16" s="76"/>
      <c r="N16" s="76">
        <f t="shared" si="1"/>
        <v>27</v>
      </c>
      <c r="O16" s="76">
        <f t="shared" si="0"/>
        <v>0.73000000000000043</v>
      </c>
      <c r="P16" s="82">
        <f t="shared" si="2"/>
        <v>46230</v>
      </c>
      <c r="Q16" s="82">
        <f t="shared" si="3"/>
        <v>46237</v>
      </c>
      <c r="R16" s="81">
        <f t="shared" si="4"/>
        <v>46251</v>
      </c>
      <c r="S16" s="82" t="s">
        <v>91</v>
      </c>
      <c r="T16" s="82" t="s">
        <v>91</v>
      </c>
      <c r="U16" s="78"/>
    </row>
    <row r="17" spans="1:21" x14ac:dyDescent="0.25">
      <c r="A17" s="181"/>
      <c r="B17" s="4">
        <v>13</v>
      </c>
      <c r="C17" s="171">
        <v>26.27</v>
      </c>
      <c r="D17" s="172"/>
      <c r="E17" s="78">
        <v>46219</v>
      </c>
      <c r="F17" s="115" t="s">
        <v>475</v>
      </c>
      <c r="G17" s="76">
        <v>9</v>
      </c>
      <c r="H17" s="114" t="s">
        <v>476</v>
      </c>
      <c r="I17" s="76">
        <v>9</v>
      </c>
      <c r="J17" s="114" t="s">
        <v>477</v>
      </c>
      <c r="K17" s="76">
        <v>9</v>
      </c>
      <c r="L17" s="76"/>
      <c r="M17" s="76"/>
      <c r="N17" s="76">
        <f t="shared" si="1"/>
        <v>27</v>
      </c>
      <c r="O17" s="76">
        <f t="shared" si="0"/>
        <v>0.73000000000000043</v>
      </c>
      <c r="P17" s="82">
        <f t="shared" si="2"/>
        <v>46226</v>
      </c>
      <c r="Q17" s="82">
        <f t="shared" si="3"/>
        <v>46233</v>
      </c>
      <c r="R17" s="82">
        <f t="shared" si="4"/>
        <v>46247</v>
      </c>
      <c r="S17" s="82" t="s">
        <v>91</v>
      </c>
      <c r="T17" s="82" t="s">
        <v>91</v>
      </c>
      <c r="U17" s="82" t="s">
        <v>91</v>
      </c>
    </row>
    <row r="18" spans="1:21" x14ac:dyDescent="0.25">
      <c r="A18" s="181"/>
      <c r="B18" s="4">
        <v>14</v>
      </c>
      <c r="C18" s="171">
        <v>26.27</v>
      </c>
      <c r="D18" s="172"/>
      <c r="E18" s="78">
        <v>46223</v>
      </c>
      <c r="F18" s="115" t="s">
        <v>458</v>
      </c>
      <c r="G18" s="76">
        <v>9</v>
      </c>
      <c r="H18" s="115" t="s">
        <v>459</v>
      </c>
      <c r="I18" s="76">
        <v>9</v>
      </c>
      <c r="J18" s="115" t="s">
        <v>460</v>
      </c>
      <c r="K18" s="76">
        <v>9</v>
      </c>
      <c r="L18" s="79"/>
      <c r="M18" s="76"/>
      <c r="N18" s="76">
        <f t="shared" si="1"/>
        <v>27</v>
      </c>
      <c r="O18" s="76">
        <f t="shared" si="0"/>
        <v>0.73000000000000043</v>
      </c>
      <c r="P18" s="82">
        <f t="shared" si="2"/>
        <v>46230</v>
      </c>
      <c r="Q18" s="82">
        <f t="shared" si="3"/>
        <v>46237</v>
      </c>
      <c r="R18" s="81">
        <f t="shared" si="4"/>
        <v>46251</v>
      </c>
      <c r="S18" s="82" t="s">
        <v>91</v>
      </c>
      <c r="T18" s="82" t="s">
        <v>91</v>
      </c>
      <c r="U18" s="78"/>
    </row>
    <row r="19" spans="1:21" x14ac:dyDescent="0.25">
      <c r="A19" s="181"/>
      <c r="B19" s="4">
        <v>15</v>
      </c>
      <c r="C19" s="171">
        <v>26.27</v>
      </c>
      <c r="D19" s="172"/>
      <c r="E19" s="78">
        <v>46225</v>
      </c>
      <c r="F19" s="115" t="s">
        <v>440</v>
      </c>
      <c r="G19" s="76">
        <v>9</v>
      </c>
      <c r="H19" s="115" t="s">
        <v>441</v>
      </c>
      <c r="I19" s="76">
        <v>9</v>
      </c>
      <c r="J19" s="115" t="s">
        <v>442</v>
      </c>
      <c r="K19" s="76">
        <v>9</v>
      </c>
      <c r="L19" s="79"/>
      <c r="M19" s="76"/>
      <c r="N19" s="76">
        <f t="shared" si="1"/>
        <v>27</v>
      </c>
      <c r="O19" s="76">
        <f t="shared" si="0"/>
        <v>0.73000000000000043</v>
      </c>
      <c r="P19" s="82">
        <f t="shared" si="2"/>
        <v>46232</v>
      </c>
      <c r="Q19" s="82">
        <f t="shared" si="3"/>
        <v>46239</v>
      </c>
      <c r="R19" s="78">
        <f t="shared" si="4"/>
        <v>46253</v>
      </c>
      <c r="S19" s="82" t="s">
        <v>91</v>
      </c>
      <c r="T19" s="82" t="s">
        <v>91</v>
      </c>
      <c r="U19" s="78"/>
    </row>
    <row r="20" spans="1:21" x14ac:dyDescent="0.25">
      <c r="A20" s="181"/>
      <c r="B20" s="4">
        <v>16</v>
      </c>
      <c r="C20" s="171">
        <v>26.27</v>
      </c>
      <c r="D20" s="172"/>
      <c r="E20" s="78">
        <v>46227</v>
      </c>
      <c r="F20" s="115" t="s">
        <v>122</v>
      </c>
      <c r="G20" s="76">
        <v>9</v>
      </c>
      <c r="H20" s="115" t="s">
        <v>123</v>
      </c>
      <c r="I20" s="76">
        <v>9</v>
      </c>
      <c r="J20" s="115" t="s">
        <v>124</v>
      </c>
      <c r="K20" s="76">
        <v>9</v>
      </c>
      <c r="L20" s="79"/>
      <c r="M20" s="76"/>
      <c r="N20" s="76">
        <f t="shared" si="1"/>
        <v>27</v>
      </c>
      <c r="O20" s="76">
        <f t="shared" si="0"/>
        <v>0.73000000000000043</v>
      </c>
      <c r="P20" s="82">
        <f t="shared" si="2"/>
        <v>46234</v>
      </c>
      <c r="Q20" s="82">
        <f t="shared" si="3"/>
        <v>46241</v>
      </c>
      <c r="R20" s="78">
        <f t="shared" si="4"/>
        <v>46255</v>
      </c>
      <c r="S20" s="82" t="s">
        <v>91</v>
      </c>
      <c r="T20" s="82" t="s">
        <v>91</v>
      </c>
      <c r="U20" s="78"/>
    </row>
    <row r="21" spans="1:21" x14ac:dyDescent="0.25">
      <c r="A21" s="181"/>
      <c r="B21" s="4">
        <v>17</v>
      </c>
      <c r="C21" s="171">
        <v>26.27</v>
      </c>
      <c r="D21" s="172"/>
      <c r="E21" s="78">
        <v>46225</v>
      </c>
      <c r="F21" s="115" t="s">
        <v>437</v>
      </c>
      <c r="G21" s="76">
        <v>9</v>
      </c>
      <c r="H21" s="115" t="s">
        <v>438</v>
      </c>
      <c r="I21" s="76">
        <v>9</v>
      </c>
      <c r="J21" s="115" t="s">
        <v>439</v>
      </c>
      <c r="K21" s="76">
        <v>9</v>
      </c>
      <c r="L21" s="79"/>
      <c r="M21" s="76"/>
      <c r="N21" s="76">
        <f t="shared" si="1"/>
        <v>27</v>
      </c>
      <c r="O21" s="76">
        <f t="shared" si="0"/>
        <v>0.73000000000000043</v>
      </c>
      <c r="P21" s="82">
        <f t="shared" si="2"/>
        <v>46232</v>
      </c>
      <c r="Q21" s="82">
        <f t="shared" si="3"/>
        <v>46239</v>
      </c>
      <c r="R21" s="78">
        <f t="shared" si="4"/>
        <v>46253</v>
      </c>
      <c r="S21" s="82" t="s">
        <v>91</v>
      </c>
      <c r="T21" s="82" t="s">
        <v>91</v>
      </c>
      <c r="U21" s="78"/>
    </row>
    <row r="22" spans="1:21" x14ac:dyDescent="0.25">
      <c r="A22" s="181"/>
      <c r="B22" s="4">
        <v>18</v>
      </c>
      <c r="C22" s="171">
        <v>26.27</v>
      </c>
      <c r="D22" s="172"/>
      <c r="E22" s="78">
        <v>46227</v>
      </c>
      <c r="F22" s="116" t="s">
        <v>112</v>
      </c>
      <c r="G22" s="76">
        <v>9</v>
      </c>
      <c r="H22" s="115" t="s">
        <v>114</v>
      </c>
      <c r="I22" s="76">
        <v>9</v>
      </c>
      <c r="J22" s="115" t="s">
        <v>115</v>
      </c>
      <c r="K22" s="76">
        <v>9</v>
      </c>
      <c r="L22" s="79"/>
      <c r="M22" s="76"/>
      <c r="N22" s="76">
        <f t="shared" si="1"/>
        <v>27</v>
      </c>
      <c r="O22" s="76">
        <f t="shared" si="0"/>
        <v>0.73000000000000043</v>
      </c>
      <c r="P22" s="82">
        <f t="shared" si="2"/>
        <v>46234</v>
      </c>
      <c r="Q22" s="82">
        <f t="shared" si="3"/>
        <v>46241</v>
      </c>
      <c r="R22" s="78">
        <f t="shared" si="4"/>
        <v>46255</v>
      </c>
      <c r="S22" s="82" t="s">
        <v>91</v>
      </c>
      <c r="T22" s="82" t="s">
        <v>91</v>
      </c>
      <c r="U22" s="78"/>
    </row>
    <row r="23" spans="1:21" x14ac:dyDescent="0.25">
      <c r="A23" s="181"/>
      <c r="B23" s="4">
        <v>19</v>
      </c>
      <c r="C23" s="171">
        <v>26.27</v>
      </c>
      <c r="D23" s="172"/>
      <c r="E23" s="78">
        <v>46228</v>
      </c>
      <c r="F23" s="115" t="s">
        <v>153</v>
      </c>
      <c r="G23" s="76">
        <v>9</v>
      </c>
      <c r="H23" s="115" t="s">
        <v>154</v>
      </c>
      <c r="I23" s="76">
        <v>9</v>
      </c>
      <c r="J23" s="115" t="s">
        <v>155</v>
      </c>
      <c r="K23" s="76">
        <v>9</v>
      </c>
      <c r="L23" s="79"/>
      <c r="M23" s="76"/>
      <c r="N23" s="76">
        <f t="shared" si="1"/>
        <v>27</v>
      </c>
      <c r="O23" s="76">
        <f t="shared" si="0"/>
        <v>0.73000000000000043</v>
      </c>
      <c r="P23" s="82">
        <f t="shared" si="2"/>
        <v>46235</v>
      </c>
      <c r="Q23" s="82">
        <f t="shared" si="3"/>
        <v>46242</v>
      </c>
      <c r="R23" s="78">
        <f t="shared" si="4"/>
        <v>46256</v>
      </c>
      <c r="S23" s="82" t="s">
        <v>91</v>
      </c>
      <c r="T23" s="82" t="s">
        <v>91</v>
      </c>
      <c r="U23" s="78"/>
    </row>
    <row r="24" spans="1:21" x14ac:dyDescent="0.25">
      <c r="A24" s="181"/>
      <c r="B24" s="4">
        <v>20</v>
      </c>
      <c r="C24" s="171">
        <v>26.27</v>
      </c>
      <c r="D24" s="172"/>
      <c r="E24" s="78">
        <v>46229</v>
      </c>
      <c r="F24" s="115" t="s">
        <v>125</v>
      </c>
      <c r="G24" s="76">
        <v>9</v>
      </c>
      <c r="H24" s="115" t="s">
        <v>126</v>
      </c>
      <c r="I24" s="76">
        <v>9</v>
      </c>
      <c r="J24" s="115" t="s">
        <v>127</v>
      </c>
      <c r="K24" s="76">
        <v>9</v>
      </c>
      <c r="L24" s="79"/>
      <c r="M24" s="76"/>
      <c r="N24" s="76">
        <f t="shared" si="1"/>
        <v>27</v>
      </c>
      <c r="O24" s="76">
        <f t="shared" si="0"/>
        <v>0.73000000000000043</v>
      </c>
      <c r="P24" s="82">
        <f t="shared" si="2"/>
        <v>46236</v>
      </c>
      <c r="Q24" s="82">
        <f t="shared" si="3"/>
        <v>46243</v>
      </c>
      <c r="R24" s="78">
        <f t="shared" si="4"/>
        <v>46257</v>
      </c>
      <c r="S24" s="82" t="s">
        <v>91</v>
      </c>
      <c r="T24" s="82" t="s">
        <v>91</v>
      </c>
      <c r="U24" s="78"/>
    </row>
    <row r="25" spans="1:21" x14ac:dyDescent="0.25">
      <c r="A25" s="181"/>
      <c r="B25" s="4">
        <v>21</v>
      </c>
      <c r="C25" s="171">
        <v>26.27</v>
      </c>
      <c r="D25" s="172"/>
      <c r="E25" s="78">
        <v>46229</v>
      </c>
      <c r="F25" s="115" t="s">
        <v>165</v>
      </c>
      <c r="G25" s="76">
        <v>9</v>
      </c>
      <c r="H25" s="115" t="s">
        <v>166</v>
      </c>
      <c r="I25" s="76">
        <v>9</v>
      </c>
      <c r="J25" s="115" t="s">
        <v>167</v>
      </c>
      <c r="K25" s="76">
        <v>9</v>
      </c>
      <c r="L25" s="79"/>
      <c r="M25" s="76"/>
      <c r="N25" s="76">
        <f t="shared" si="1"/>
        <v>27</v>
      </c>
      <c r="O25" s="76">
        <f t="shared" si="0"/>
        <v>0.73000000000000043</v>
      </c>
      <c r="P25" s="82">
        <f t="shared" si="2"/>
        <v>46236</v>
      </c>
      <c r="Q25" s="82">
        <f t="shared" si="3"/>
        <v>46243</v>
      </c>
      <c r="R25" s="78">
        <f t="shared" si="4"/>
        <v>46257</v>
      </c>
      <c r="S25" s="82" t="s">
        <v>91</v>
      </c>
      <c r="T25" s="82" t="s">
        <v>91</v>
      </c>
      <c r="U25" s="78"/>
    </row>
    <row r="26" spans="1:21" x14ac:dyDescent="0.25">
      <c r="A26" s="181"/>
      <c r="B26" s="4">
        <v>22</v>
      </c>
      <c r="C26" s="171">
        <v>26.27</v>
      </c>
      <c r="D26" s="172"/>
      <c r="E26" s="78">
        <v>46228</v>
      </c>
      <c r="F26" s="115" t="s">
        <v>137</v>
      </c>
      <c r="G26" s="76">
        <v>9</v>
      </c>
      <c r="H26" s="115" t="s">
        <v>138</v>
      </c>
      <c r="I26" s="76">
        <v>9</v>
      </c>
      <c r="J26" s="115" t="s">
        <v>139</v>
      </c>
      <c r="K26" s="76">
        <v>9</v>
      </c>
      <c r="L26" s="79"/>
      <c r="M26" s="76"/>
      <c r="N26" s="76">
        <f t="shared" si="1"/>
        <v>27</v>
      </c>
      <c r="O26" s="76">
        <f t="shared" si="0"/>
        <v>0.73000000000000043</v>
      </c>
      <c r="P26" s="82">
        <f t="shared" si="2"/>
        <v>46235</v>
      </c>
      <c r="Q26" s="82">
        <f t="shared" si="3"/>
        <v>46242</v>
      </c>
      <c r="R26" s="78">
        <f t="shared" si="4"/>
        <v>46256</v>
      </c>
      <c r="S26" s="82" t="s">
        <v>91</v>
      </c>
      <c r="T26" s="82" t="s">
        <v>91</v>
      </c>
      <c r="U26" s="78"/>
    </row>
    <row r="27" spans="1:21" x14ac:dyDescent="0.25">
      <c r="A27" s="181"/>
      <c r="B27" s="4">
        <v>23</v>
      </c>
      <c r="C27" s="171">
        <v>26.27</v>
      </c>
      <c r="D27" s="172"/>
      <c r="E27" s="78">
        <v>46227</v>
      </c>
      <c r="F27" s="115" t="s">
        <v>107</v>
      </c>
      <c r="G27" s="76">
        <v>9</v>
      </c>
      <c r="H27" s="115" t="s">
        <v>108</v>
      </c>
      <c r="I27" s="76">
        <v>9</v>
      </c>
      <c r="J27" s="115" t="s">
        <v>109</v>
      </c>
      <c r="K27" s="76">
        <v>9</v>
      </c>
      <c r="L27" s="79"/>
      <c r="M27" s="76"/>
      <c r="N27" s="76">
        <f t="shared" si="1"/>
        <v>27</v>
      </c>
      <c r="O27" s="76">
        <f t="shared" si="0"/>
        <v>0.73000000000000043</v>
      </c>
      <c r="P27" s="82">
        <f t="shared" si="2"/>
        <v>46234</v>
      </c>
      <c r="Q27" s="82">
        <f t="shared" si="3"/>
        <v>46241</v>
      </c>
      <c r="R27" s="78">
        <f t="shared" si="4"/>
        <v>46255</v>
      </c>
      <c r="S27" s="82" t="s">
        <v>91</v>
      </c>
      <c r="T27" s="82" t="s">
        <v>91</v>
      </c>
      <c r="U27" s="78"/>
    </row>
    <row r="28" spans="1:21" x14ac:dyDescent="0.25">
      <c r="A28" s="182"/>
      <c r="B28" s="4">
        <v>24</v>
      </c>
      <c r="C28" s="171">
        <v>26.27</v>
      </c>
      <c r="D28" s="172"/>
      <c r="E28" s="78">
        <v>46226</v>
      </c>
      <c r="F28" s="115" t="s">
        <v>692</v>
      </c>
      <c r="G28" s="76">
        <v>9</v>
      </c>
      <c r="H28" s="115" t="s">
        <v>693</v>
      </c>
      <c r="I28" s="76">
        <v>9</v>
      </c>
      <c r="J28" s="115" t="s">
        <v>694</v>
      </c>
      <c r="K28" s="76">
        <v>9</v>
      </c>
      <c r="L28" s="79"/>
      <c r="M28" s="76"/>
      <c r="N28" s="76">
        <f t="shared" si="1"/>
        <v>27</v>
      </c>
      <c r="O28" s="76">
        <f t="shared" si="0"/>
        <v>0.73000000000000043</v>
      </c>
      <c r="P28" s="82">
        <f t="shared" si="2"/>
        <v>46233</v>
      </c>
      <c r="Q28" s="82">
        <f t="shared" si="3"/>
        <v>46240</v>
      </c>
      <c r="R28" s="78">
        <f t="shared" si="4"/>
        <v>46254</v>
      </c>
      <c r="S28" s="82" t="s">
        <v>91</v>
      </c>
      <c r="T28" s="82" t="s">
        <v>91</v>
      </c>
      <c r="U28" s="78"/>
    </row>
    <row r="29" spans="1:21" x14ac:dyDescent="0.25">
      <c r="A29" s="74" t="s">
        <v>68</v>
      </c>
      <c r="B29" s="77"/>
      <c r="C29" s="171">
        <f>SUM(C5:D28)</f>
        <v>630.47999999999979</v>
      </c>
      <c r="D29" s="172"/>
      <c r="E29" s="174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</row>
  </sheetData>
  <autoFilter ref="A4:U29" xr:uid="{A4217B14-D7AF-4EAF-AA80-74A39D6F152A}">
    <filterColumn colId="2" showButton="0"/>
  </autoFilter>
  <mergeCells count="46">
    <mergeCell ref="E29:U29"/>
    <mergeCell ref="H1:H4"/>
    <mergeCell ref="A1:B3"/>
    <mergeCell ref="C1:D4"/>
    <mergeCell ref="E1:E4"/>
    <mergeCell ref="F1:F4"/>
    <mergeCell ref="G1:G4"/>
    <mergeCell ref="T1:T4"/>
    <mergeCell ref="I1:I4"/>
    <mergeCell ref="J1:J4"/>
    <mergeCell ref="K1:K4"/>
    <mergeCell ref="L1:L4"/>
    <mergeCell ref="M1:M4"/>
    <mergeCell ref="N1:N4"/>
    <mergeCell ref="C18:D18"/>
    <mergeCell ref="U1:U4"/>
    <mergeCell ref="A5:A28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9:D19"/>
    <mergeCell ref="C20:D20"/>
    <mergeCell ref="O1:O4"/>
    <mergeCell ref="P1:P4"/>
    <mergeCell ref="Q1:Q4"/>
    <mergeCell ref="R1:R4"/>
    <mergeCell ref="S1:S4"/>
    <mergeCell ref="C26:D26"/>
    <mergeCell ref="C27:D27"/>
    <mergeCell ref="C28:D28"/>
    <mergeCell ref="C29:D29"/>
    <mergeCell ref="C21:D21"/>
    <mergeCell ref="C22:D22"/>
    <mergeCell ref="C23:D23"/>
    <mergeCell ref="C24:D24"/>
    <mergeCell ref="C25:D25"/>
  </mergeCells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F38C8-5730-4770-A1F1-35C7B3181A8E}">
  <dimension ref="A1:U29"/>
  <sheetViews>
    <sheetView topLeftCell="L1" zoomScaleNormal="100" workbookViewId="0">
      <selection activeCell="R19" sqref="R19"/>
    </sheetView>
  </sheetViews>
  <sheetFormatPr defaultRowHeight="15" x14ac:dyDescent="0.25"/>
  <cols>
    <col min="2" max="3" width="10.7109375" customWidth="1"/>
    <col min="4" max="4" width="11.28515625" customWidth="1"/>
    <col min="5" max="5" width="16.7109375" customWidth="1"/>
    <col min="6" max="15" width="16.85546875" customWidth="1"/>
    <col min="16" max="17" width="17.140625" customWidth="1"/>
    <col min="18" max="18" width="18.140625" customWidth="1"/>
    <col min="19" max="20" width="17.28515625" customWidth="1"/>
    <col min="21" max="21" width="18.7109375" customWidth="1"/>
  </cols>
  <sheetData>
    <row r="1" spans="1:21" ht="15" customHeight="1" x14ac:dyDescent="0.25">
      <c r="A1" s="128" t="s">
        <v>89</v>
      </c>
      <c r="B1" s="128"/>
      <c r="C1" s="174" t="s">
        <v>69</v>
      </c>
      <c r="D1" s="175"/>
      <c r="E1" s="173" t="s">
        <v>67</v>
      </c>
      <c r="F1" s="183" t="s">
        <v>70</v>
      </c>
      <c r="G1" s="187" t="s">
        <v>71</v>
      </c>
      <c r="H1" s="183" t="s">
        <v>70</v>
      </c>
      <c r="I1" s="187" t="s">
        <v>71</v>
      </c>
      <c r="J1" s="183" t="s">
        <v>70</v>
      </c>
      <c r="K1" s="187" t="s">
        <v>71</v>
      </c>
      <c r="L1" s="183" t="s">
        <v>70</v>
      </c>
      <c r="M1" s="187" t="s">
        <v>71</v>
      </c>
      <c r="N1" s="183" t="s">
        <v>68</v>
      </c>
      <c r="O1" s="183" t="s">
        <v>74</v>
      </c>
      <c r="P1" s="170" t="s">
        <v>72</v>
      </c>
      <c r="Q1" s="170" t="s">
        <v>78</v>
      </c>
      <c r="R1" s="170" t="s">
        <v>73</v>
      </c>
      <c r="S1" s="170" t="s">
        <v>76</v>
      </c>
      <c r="T1" s="170" t="s">
        <v>79</v>
      </c>
      <c r="U1" s="170" t="s">
        <v>77</v>
      </c>
    </row>
    <row r="2" spans="1:21" x14ac:dyDescent="0.25">
      <c r="A2" s="128"/>
      <c r="B2" s="128"/>
      <c r="C2" s="176"/>
      <c r="D2" s="177"/>
      <c r="E2" s="173"/>
      <c r="F2" s="184"/>
      <c r="G2" s="188"/>
      <c r="H2" s="184"/>
      <c r="I2" s="188"/>
      <c r="J2" s="184"/>
      <c r="K2" s="188"/>
      <c r="L2" s="184"/>
      <c r="M2" s="188"/>
      <c r="N2" s="184"/>
      <c r="O2" s="184"/>
      <c r="P2" s="170"/>
      <c r="Q2" s="170"/>
      <c r="R2" s="170"/>
      <c r="S2" s="170"/>
      <c r="T2" s="170"/>
      <c r="U2" s="170"/>
    </row>
    <row r="3" spans="1:21" ht="15" customHeight="1" x14ac:dyDescent="0.25">
      <c r="A3" s="128"/>
      <c r="B3" s="128"/>
      <c r="C3" s="176"/>
      <c r="D3" s="177"/>
      <c r="E3" s="173"/>
      <c r="F3" s="184"/>
      <c r="G3" s="188"/>
      <c r="H3" s="184"/>
      <c r="I3" s="188"/>
      <c r="J3" s="184"/>
      <c r="K3" s="188"/>
      <c r="L3" s="184"/>
      <c r="M3" s="188"/>
      <c r="N3" s="184"/>
      <c r="O3" s="184"/>
      <c r="P3" s="170"/>
      <c r="Q3" s="170"/>
      <c r="R3" s="170"/>
      <c r="S3" s="170"/>
      <c r="T3" s="170"/>
      <c r="U3" s="170"/>
    </row>
    <row r="4" spans="1:21" x14ac:dyDescent="0.25">
      <c r="A4" s="2" t="s">
        <v>0</v>
      </c>
      <c r="B4" s="75" t="s">
        <v>88</v>
      </c>
      <c r="C4" s="178"/>
      <c r="D4" s="179"/>
      <c r="E4" s="173"/>
      <c r="F4" s="185"/>
      <c r="G4" s="189"/>
      <c r="H4" s="185"/>
      <c r="I4" s="189"/>
      <c r="J4" s="185"/>
      <c r="K4" s="189"/>
      <c r="L4" s="185"/>
      <c r="M4" s="189"/>
      <c r="N4" s="185"/>
      <c r="O4" s="185"/>
      <c r="P4" s="170"/>
      <c r="Q4" s="170"/>
      <c r="R4" s="170"/>
      <c r="S4" s="170"/>
      <c r="T4" s="170"/>
      <c r="U4" s="170"/>
    </row>
    <row r="5" spans="1:21" x14ac:dyDescent="0.25">
      <c r="A5" s="180" t="s">
        <v>26</v>
      </c>
      <c r="B5" s="4">
        <v>1</v>
      </c>
      <c r="C5" s="171">
        <v>26.27</v>
      </c>
      <c r="D5" s="172"/>
      <c r="E5" s="78">
        <v>46239</v>
      </c>
      <c r="F5" s="114" t="s">
        <v>527</v>
      </c>
      <c r="G5" s="76">
        <v>9</v>
      </c>
      <c r="H5" s="114" t="s">
        <v>528</v>
      </c>
      <c r="I5" s="76">
        <v>9</v>
      </c>
      <c r="J5" s="114" t="s">
        <v>529</v>
      </c>
      <c r="K5" s="76">
        <v>9</v>
      </c>
      <c r="L5" s="76"/>
      <c r="M5" s="76"/>
      <c r="N5" s="76">
        <f>G5+I5+K5+M5</f>
        <v>27</v>
      </c>
      <c r="O5" s="76">
        <f t="shared" ref="O5:O28" si="0">N5-C5</f>
        <v>0.73000000000000043</v>
      </c>
      <c r="P5" s="82">
        <f>E5+7</f>
        <v>46246</v>
      </c>
      <c r="Q5" s="81">
        <f>E5+14</f>
        <v>46253</v>
      </c>
      <c r="R5" s="81">
        <f>E5+28</f>
        <v>46267</v>
      </c>
      <c r="S5" s="81" t="s">
        <v>91</v>
      </c>
      <c r="T5" s="81"/>
      <c r="U5" s="78"/>
    </row>
    <row r="6" spans="1:21" x14ac:dyDescent="0.25">
      <c r="A6" s="181"/>
      <c r="B6" s="4">
        <v>2</v>
      </c>
      <c r="C6" s="171">
        <v>26.27</v>
      </c>
      <c r="D6" s="172"/>
      <c r="E6" s="78">
        <v>46240</v>
      </c>
      <c r="F6" s="114" t="s">
        <v>634</v>
      </c>
      <c r="G6" s="76">
        <v>9</v>
      </c>
      <c r="H6" s="114" t="s">
        <v>635</v>
      </c>
      <c r="I6" s="76">
        <v>9</v>
      </c>
      <c r="J6" s="114" t="s">
        <v>636</v>
      </c>
      <c r="K6" s="76">
        <v>9</v>
      </c>
      <c r="L6" s="76"/>
      <c r="M6" s="76"/>
      <c r="N6" s="76">
        <f t="shared" ref="N6:N28" si="1">G6+I6+K6+M6</f>
        <v>27</v>
      </c>
      <c r="O6" s="76">
        <f t="shared" si="0"/>
        <v>0.73000000000000043</v>
      </c>
      <c r="P6" s="82">
        <f t="shared" ref="P6:P28" si="2">E6+7</f>
        <v>46247</v>
      </c>
      <c r="Q6" s="81">
        <f t="shared" ref="Q6:Q28" si="3">E6+14</f>
        <v>46254</v>
      </c>
      <c r="R6" s="81">
        <f t="shared" ref="R6:R28" si="4">E6+28</f>
        <v>46268</v>
      </c>
      <c r="S6" s="81" t="s">
        <v>91</v>
      </c>
      <c r="T6" s="81"/>
      <c r="U6" s="78"/>
    </row>
    <row r="7" spans="1:21" x14ac:dyDescent="0.25">
      <c r="A7" s="181"/>
      <c r="B7" s="4">
        <v>3</v>
      </c>
      <c r="C7" s="171">
        <v>26.27</v>
      </c>
      <c r="D7" s="172"/>
      <c r="E7" s="78">
        <v>46239</v>
      </c>
      <c r="F7" s="114" t="s">
        <v>530</v>
      </c>
      <c r="G7" s="76">
        <v>9</v>
      </c>
      <c r="H7" s="114" t="s">
        <v>531</v>
      </c>
      <c r="I7" s="76">
        <v>9</v>
      </c>
      <c r="J7" s="114" t="s">
        <v>532</v>
      </c>
      <c r="K7" s="76">
        <v>9</v>
      </c>
      <c r="L7" s="76"/>
      <c r="M7" s="76"/>
      <c r="N7" s="76">
        <f t="shared" si="1"/>
        <v>27</v>
      </c>
      <c r="O7" s="76">
        <f t="shared" si="0"/>
        <v>0.73000000000000043</v>
      </c>
      <c r="P7" s="82">
        <f t="shared" si="2"/>
        <v>46246</v>
      </c>
      <c r="Q7" s="81">
        <f t="shared" si="3"/>
        <v>46253</v>
      </c>
      <c r="R7" s="81">
        <f t="shared" si="4"/>
        <v>46267</v>
      </c>
      <c r="S7" s="81" t="s">
        <v>91</v>
      </c>
      <c r="T7" s="81"/>
      <c r="U7" s="78" t="s">
        <v>75</v>
      </c>
    </row>
    <row r="8" spans="1:21" x14ac:dyDescent="0.25">
      <c r="A8" s="181"/>
      <c r="B8" s="4">
        <v>4</v>
      </c>
      <c r="C8" s="171">
        <v>26.27</v>
      </c>
      <c r="D8" s="172"/>
      <c r="E8" s="78">
        <v>46238</v>
      </c>
      <c r="F8" s="114" t="s">
        <v>536</v>
      </c>
      <c r="G8" s="76">
        <v>9</v>
      </c>
      <c r="H8" s="114" t="s">
        <v>537</v>
      </c>
      <c r="I8" s="76">
        <v>9</v>
      </c>
      <c r="J8" s="114" t="s">
        <v>538</v>
      </c>
      <c r="K8" s="76">
        <v>9</v>
      </c>
      <c r="L8" s="76"/>
      <c r="M8" s="76"/>
      <c r="N8" s="76">
        <f t="shared" si="1"/>
        <v>27</v>
      </c>
      <c r="O8" s="76">
        <f t="shared" si="0"/>
        <v>0.73000000000000043</v>
      </c>
      <c r="P8" s="82">
        <f t="shared" si="2"/>
        <v>46245</v>
      </c>
      <c r="Q8" s="81">
        <f t="shared" si="3"/>
        <v>46252</v>
      </c>
      <c r="R8" s="81">
        <f t="shared" si="4"/>
        <v>46266</v>
      </c>
      <c r="S8" s="81" t="s">
        <v>91</v>
      </c>
      <c r="T8" s="81"/>
      <c r="U8" s="78"/>
    </row>
    <row r="9" spans="1:21" x14ac:dyDescent="0.25">
      <c r="A9" s="181"/>
      <c r="B9" s="4">
        <v>5</v>
      </c>
      <c r="C9" s="171">
        <v>26.27</v>
      </c>
      <c r="D9" s="172"/>
      <c r="E9" s="78">
        <v>46237</v>
      </c>
      <c r="F9" s="114" t="s">
        <v>285</v>
      </c>
      <c r="G9" s="76">
        <v>9</v>
      </c>
      <c r="H9" s="114" t="s">
        <v>286</v>
      </c>
      <c r="I9" s="76">
        <v>9</v>
      </c>
      <c r="J9" s="114" t="s">
        <v>287</v>
      </c>
      <c r="K9" s="76">
        <v>9</v>
      </c>
      <c r="L9" s="76"/>
      <c r="M9" s="76"/>
      <c r="N9" s="76">
        <f t="shared" si="1"/>
        <v>27</v>
      </c>
      <c r="O9" s="76">
        <f t="shared" si="0"/>
        <v>0.73000000000000043</v>
      </c>
      <c r="P9" s="82">
        <f t="shared" si="2"/>
        <v>46244</v>
      </c>
      <c r="Q9" s="81">
        <f t="shared" si="3"/>
        <v>46251</v>
      </c>
      <c r="R9" s="81">
        <f t="shared" si="4"/>
        <v>46265</v>
      </c>
      <c r="S9" s="81" t="s">
        <v>91</v>
      </c>
      <c r="T9" s="81"/>
      <c r="U9" s="78"/>
    </row>
    <row r="10" spans="1:21" x14ac:dyDescent="0.25">
      <c r="A10" s="181"/>
      <c r="B10" s="4">
        <v>6</v>
      </c>
      <c r="C10" s="171">
        <v>26.27</v>
      </c>
      <c r="D10" s="172"/>
      <c r="E10" s="78">
        <v>46239</v>
      </c>
      <c r="F10" s="114" t="s">
        <v>533</v>
      </c>
      <c r="G10" s="76">
        <v>9</v>
      </c>
      <c r="H10" s="114" t="s">
        <v>534</v>
      </c>
      <c r="I10" s="76">
        <v>9</v>
      </c>
      <c r="J10" s="114" t="s">
        <v>535</v>
      </c>
      <c r="K10" s="76">
        <v>9</v>
      </c>
      <c r="L10" s="76"/>
      <c r="M10" s="76"/>
      <c r="N10" s="76">
        <f t="shared" si="1"/>
        <v>27</v>
      </c>
      <c r="O10" s="76">
        <f t="shared" si="0"/>
        <v>0.73000000000000043</v>
      </c>
      <c r="P10" s="82">
        <f t="shared" si="2"/>
        <v>46246</v>
      </c>
      <c r="Q10" s="81">
        <f t="shared" si="3"/>
        <v>46253</v>
      </c>
      <c r="R10" s="81">
        <f t="shared" si="4"/>
        <v>46267</v>
      </c>
      <c r="S10" s="81" t="s">
        <v>91</v>
      </c>
      <c r="T10" s="81"/>
      <c r="U10" s="78"/>
    </row>
    <row r="11" spans="1:21" x14ac:dyDescent="0.25">
      <c r="A11" s="181"/>
      <c r="B11" s="4">
        <v>7</v>
      </c>
      <c r="C11" s="171">
        <v>26.27</v>
      </c>
      <c r="D11" s="172"/>
      <c r="E11" s="78">
        <v>46237</v>
      </c>
      <c r="F11" s="115" t="s">
        <v>288</v>
      </c>
      <c r="G11" s="76">
        <v>9</v>
      </c>
      <c r="H11" s="115" t="s">
        <v>289</v>
      </c>
      <c r="I11" s="76">
        <v>9</v>
      </c>
      <c r="J11" s="115" t="s">
        <v>290</v>
      </c>
      <c r="K11" s="76">
        <v>9</v>
      </c>
      <c r="L11" s="76"/>
      <c r="M11" s="76"/>
      <c r="N11" s="76">
        <f t="shared" si="1"/>
        <v>27</v>
      </c>
      <c r="O11" s="76">
        <f t="shared" si="0"/>
        <v>0.73000000000000043</v>
      </c>
      <c r="P11" s="82">
        <f t="shared" si="2"/>
        <v>46244</v>
      </c>
      <c r="Q11" s="81">
        <f t="shared" si="3"/>
        <v>46251</v>
      </c>
      <c r="R11" s="81">
        <f t="shared" si="4"/>
        <v>46265</v>
      </c>
      <c r="S11" s="81" t="s">
        <v>91</v>
      </c>
      <c r="T11" s="81"/>
      <c r="U11" s="78"/>
    </row>
    <row r="12" spans="1:21" x14ac:dyDescent="0.25">
      <c r="A12" s="181"/>
      <c r="B12" s="4">
        <v>8</v>
      </c>
      <c r="C12" s="171">
        <v>26.27</v>
      </c>
      <c r="D12" s="172"/>
      <c r="E12" s="78">
        <v>46238</v>
      </c>
      <c r="F12" s="114" t="s">
        <v>542</v>
      </c>
      <c r="G12" s="76">
        <v>9</v>
      </c>
      <c r="H12" s="114" t="s">
        <v>543</v>
      </c>
      <c r="I12" s="76">
        <v>9</v>
      </c>
      <c r="J12" s="114" t="s">
        <v>544</v>
      </c>
      <c r="K12" s="76">
        <v>9</v>
      </c>
      <c r="L12" s="76"/>
      <c r="M12" s="76"/>
      <c r="N12" s="76">
        <f t="shared" si="1"/>
        <v>27</v>
      </c>
      <c r="O12" s="76">
        <f t="shared" si="0"/>
        <v>0.73000000000000043</v>
      </c>
      <c r="P12" s="82">
        <f t="shared" si="2"/>
        <v>46245</v>
      </c>
      <c r="Q12" s="81">
        <f t="shared" si="3"/>
        <v>46252</v>
      </c>
      <c r="R12" s="81">
        <f t="shared" si="4"/>
        <v>46266</v>
      </c>
      <c r="S12" s="81" t="s">
        <v>91</v>
      </c>
      <c r="T12" s="81"/>
      <c r="U12" s="78"/>
    </row>
    <row r="13" spans="1:21" x14ac:dyDescent="0.25">
      <c r="A13" s="181"/>
      <c r="B13" s="4">
        <v>9</v>
      </c>
      <c r="C13" s="171">
        <v>26.27</v>
      </c>
      <c r="D13" s="172"/>
      <c r="E13" s="78">
        <v>46236</v>
      </c>
      <c r="F13" s="114" t="s">
        <v>294</v>
      </c>
      <c r="G13" s="76">
        <v>9</v>
      </c>
      <c r="H13" s="114" t="s">
        <v>295</v>
      </c>
      <c r="I13" s="76">
        <v>9</v>
      </c>
      <c r="J13" s="114" t="s">
        <v>296</v>
      </c>
      <c r="K13" s="76">
        <v>9</v>
      </c>
      <c r="L13" s="76"/>
      <c r="M13" s="76"/>
      <c r="N13" s="76">
        <f t="shared" si="1"/>
        <v>27</v>
      </c>
      <c r="O13" s="76">
        <f t="shared" si="0"/>
        <v>0.73000000000000043</v>
      </c>
      <c r="P13" s="82">
        <f t="shared" si="2"/>
        <v>46243</v>
      </c>
      <c r="Q13" s="81">
        <f t="shared" si="3"/>
        <v>46250</v>
      </c>
      <c r="R13" s="81">
        <f t="shared" si="4"/>
        <v>46264</v>
      </c>
      <c r="S13" s="81" t="s">
        <v>91</v>
      </c>
      <c r="T13" s="81"/>
      <c r="U13" s="78"/>
    </row>
    <row r="14" spans="1:21" x14ac:dyDescent="0.25">
      <c r="A14" s="181"/>
      <c r="B14" s="4">
        <v>10</v>
      </c>
      <c r="C14" s="171">
        <v>26.27</v>
      </c>
      <c r="D14" s="172"/>
      <c r="E14" s="78">
        <v>46232</v>
      </c>
      <c r="F14" s="114" t="s">
        <v>230</v>
      </c>
      <c r="G14" s="76">
        <v>9</v>
      </c>
      <c r="H14" s="114" t="s">
        <v>231</v>
      </c>
      <c r="I14" s="76">
        <v>9</v>
      </c>
      <c r="J14" s="114" t="s">
        <v>232</v>
      </c>
      <c r="K14" s="76">
        <v>9</v>
      </c>
      <c r="L14" s="76"/>
      <c r="M14" s="76"/>
      <c r="N14" s="76">
        <f t="shared" si="1"/>
        <v>27</v>
      </c>
      <c r="O14" s="76">
        <f t="shared" si="0"/>
        <v>0.73000000000000043</v>
      </c>
      <c r="P14" s="82">
        <f t="shared" si="2"/>
        <v>46239</v>
      </c>
      <c r="Q14" s="82">
        <f t="shared" si="3"/>
        <v>46246</v>
      </c>
      <c r="R14" s="81">
        <f t="shared" si="4"/>
        <v>46260</v>
      </c>
      <c r="S14" s="81" t="s">
        <v>91</v>
      </c>
      <c r="T14" s="81" t="s">
        <v>91</v>
      </c>
      <c r="U14" s="78"/>
    </row>
    <row r="15" spans="1:21" x14ac:dyDescent="0.25">
      <c r="A15" s="181"/>
      <c r="B15" s="4">
        <v>11</v>
      </c>
      <c r="C15" s="171">
        <v>26.27</v>
      </c>
      <c r="D15" s="172"/>
      <c r="E15" s="78">
        <v>46231</v>
      </c>
      <c r="F15" s="115" t="s">
        <v>220</v>
      </c>
      <c r="G15" s="76">
        <v>9</v>
      </c>
      <c r="H15" s="115" t="s">
        <v>221</v>
      </c>
      <c r="I15" s="76">
        <v>9</v>
      </c>
      <c r="J15" s="115" t="s">
        <v>222</v>
      </c>
      <c r="K15" s="76">
        <v>9</v>
      </c>
      <c r="L15" s="76"/>
      <c r="M15" s="76"/>
      <c r="N15" s="76">
        <f t="shared" si="1"/>
        <v>27</v>
      </c>
      <c r="O15" s="76">
        <f t="shared" si="0"/>
        <v>0.73000000000000043</v>
      </c>
      <c r="P15" s="82">
        <f t="shared" si="2"/>
        <v>46238</v>
      </c>
      <c r="Q15" s="82">
        <f t="shared" si="3"/>
        <v>46245</v>
      </c>
      <c r="R15" s="81">
        <f t="shared" si="4"/>
        <v>46259</v>
      </c>
      <c r="S15" s="81" t="s">
        <v>91</v>
      </c>
      <c r="T15" s="81" t="s">
        <v>91</v>
      </c>
      <c r="U15" s="78"/>
    </row>
    <row r="16" spans="1:21" x14ac:dyDescent="0.25">
      <c r="A16" s="181"/>
      <c r="B16" s="4">
        <v>12</v>
      </c>
      <c r="C16" s="171">
        <v>26.27</v>
      </c>
      <c r="D16" s="172"/>
      <c r="E16" s="78">
        <v>46234</v>
      </c>
      <c r="F16" s="115" t="s">
        <v>309</v>
      </c>
      <c r="G16" s="76">
        <v>9</v>
      </c>
      <c r="H16" s="114" t="s">
        <v>310</v>
      </c>
      <c r="I16" s="76">
        <v>9</v>
      </c>
      <c r="J16" s="114" t="s">
        <v>311</v>
      </c>
      <c r="K16" s="76">
        <v>9</v>
      </c>
      <c r="L16" s="76"/>
      <c r="M16" s="76"/>
      <c r="N16" s="76">
        <f t="shared" si="1"/>
        <v>27</v>
      </c>
      <c r="O16" s="76">
        <f t="shared" si="0"/>
        <v>0.73000000000000043</v>
      </c>
      <c r="P16" s="82">
        <f t="shared" si="2"/>
        <v>46241</v>
      </c>
      <c r="Q16" s="82">
        <f t="shared" si="3"/>
        <v>46248</v>
      </c>
      <c r="R16" s="81">
        <f t="shared" si="4"/>
        <v>46262</v>
      </c>
      <c r="S16" s="81" t="s">
        <v>91</v>
      </c>
      <c r="T16" s="81" t="s">
        <v>91</v>
      </c>
      <c r="U16" s="78"/>
    </row>
    <row r="17" spans="1:21" x14ac:dyDescent="0.25">
      <c r="A17" s="181"/>
      <c r="B17" s="4">
        <v>13</v>
      </c>
      <c r="C17" s="171">
        <v>26.27</v>
      </c>
      <c r="D17" s="172"/>
      <c r="E17" s="78">
        <v>46230</v>
      </c>
      <c r="F17" s="114" t="s">
        <v>180</v>
      </c>
      <c r="G17" s="76">
        <v>9</v>
      </c>
      <c r="H17" s="114" t="s">
        <v>181</v>
      </c>
      <c r="I17" s="76">
        <v>9</v>
      </c>
      <c r="J17" s="114" t="s">
        <v>182</v>
      </c>
      <c r="K17" s="76">
        <v>9</v>
      </c>
      <c r="L17" s="76"/>
      <c r="M17" s="76"/>
      <c r="N17" s="76">
        <f t="shared" si="1"/>
        <v>27</v>
      </c>
      <c r="O17" s="76">
        <f t="shared" si="0"/>
        <v>0.73000000000000043</v>
      </c>
      <c r="P17" s="82">
        <f t="shared" si="2"/>
        <v>46237</v>
      </c>
      <c r="Q17" s="82">
        <f t="shared" si="3"/>
        <v>46244</v>
      </c>
      <c r="R17" s="81">
        <f t="shared" si="4"/>
        <v>46258</v>
      </c>
      <c r="S17" s="81" t="s">
        <v>91</v>
      </c>
      <c r="T17" s="81" t="s">
        <v>91</v>
      </c>
      <c r="U17" s="78"/>
    </row>
    <row r="18" spans="1:21" x14ac:dyDescent="0.25">
      <c r="A18" s="181"/>
      <c r="B18" s="4">
        <v>14</v>
      </c>
      <c r="C18" s="171">
        <v>26.27</v>
      </c>
      <c r="D18" s="172"/>
      <c r="E18" s="78">
        <v>46231</v>
      </c>
      <c r="F18" s="115" t="s">
        <v>211</v>
      </c>
      <c r="G18" s="76">
        <v>9</v>
      </c>
      <c r="H18" s="115" t="s">
        <v>212</v>
      </c>
      <c r="I18" s="76">
        <v>9</v>
      </c>
      <c r="J18" s="115" t="s">
        <v>213</v>
      </c>
      <c r="K18" s="76">
        <v>9</v>
      </c>
      <c r="L18" s="79"/>
      <c r="M18" s="76"/>
      <c r="N18" s="76">
        <f t="shared" si="1"/>
        <v>27</v>
      </c>
      <c r="O18" s="76">
        <f t="shared" si="0"/>
        <v>0.73000000000000043</v>
      </c>
      <c r="P18" s="82">
        <f t="shared" si="2"/>
        <v>46238</v>
      </c>
      <c r="Q18" s="82">
        <f t="shared" si="3"/>
        <v>46245</v>
      </c>
      <c r="R18" s="81">
        <f t="shared" si="4"/>
        <v>46259</v>
      </c>
      <c r="S18" s="81" t="s">
        <v>91</v>
      </c>
      <c r="T18" s="81" t="s">
        <v>91</v>
      </c>
      <c r="U18" s="78"/>
    </row>
    <row r="19" spans="1:21" x14ac:dyDescent="0.25">
      <c r="A19" s="181"/>
      <c r="B19" s="4">
        <v>15</v>
      </c>
      <c r="C19" s="171">
        <v>26.27</v>
      </c>
      <c r="D19" s="172"/>
      <c r="E19" s="78">
        <v>46230</v>
      </c>
      <c r="F19" s="115" t="s">
        <v>192</v>
      </c>
      <c r="G19" s="76">
        <v>9</v>
      </c>
      <c r="H19" s="115" t="s">
        <v>193</v>
      </c>
      <c r="I19" s="76">
        <v>9.5</v>
      </c>
      <c r="J19" s="115" t="s">
        <v>194</v>
      </c>
      <c r="K19" s="76">
        <v>9.5</v>
      </c>
      <c r="L19" s="79"/>
      <c r="M19" s="76"/>
      <c r="N19" s="76">
        <f t="shared" si="1"/>
        <v>28</v>
      </c>
      <c r="O19" s="76">
        <f t="shared" si="0"/>
        <v>1.7300000000000004</v>
      </c>
      <c r="P19" s="82">
        <f t="shared" si="2"/>
        <v>46237</v>
      </c>
      <c r="Q19" s="82">
        <f t="shared" si="3"/>
        <v>46244</v>
      </c>
      <c r="R19" s="78">
        <f t="shared" si="4"/>
        <v>46258</v>
      </c>
      <c r="S19" s="81" t="s">
        <v>91</v>
      </c>
      <c r="T19" s="81" t="s">
        <v>91</v>
      </c>
      <c r="U19" s="78"/>
    </row>
    <row r="20" spans="1:21" x14ac:dyDescent="0.25">
      <c r="A20" s="181"/>
      <c r="B20" s="4">
        <v>16</v>
      </c>
      <c r="C20" s="171">
        <v>26.27</v>
      </c>
      <c r="D20" s="172"/>
      <c r="E20" s="78">
        <v>46232</v>
      </c>
      <c r="F20" s="115" t="s">
        <v>247</v>
      </c>
      <c r="G20" s="76">
        <v>9</v>
      </c>
      <c r="H20" s="115" t="s">
        <v>248</v>
      </c>
      <c r="I20" s="76">
        <v>9</v>
      </c>
      <c r="J20" s="115" t="s">
        <v>249</v>
      </c>
      <c r="K20" s="76">
        <v>9</v>
      </c>
      <c r="L20" s="79"/>
      <c r="M20" s="76"/>
      <c r="N20" s="76">
        <f t="shared" si="1"/>
        <v>27</v>
      </c>
      <c r="O20" s="76">
        <f t="shared" si="0"/>
        <v>0.73000000000000043</v>
      </c>
      <c r="P20" s="82">
        <f t="shared" si="2"/>
        <v>46239</v>
      </c>
      <c r="Q20" s="82">
        <f t="shared" si="3"/>
        <v>46246</v>
      </c>
      <c r="R20" s="78">
        <f t="shared" si="4"/>
        <v>46260</v>
      </c>
      <c r="S20" s="81" t="s">
        <v>91</v>
      </c>
      <c r="T20" s="81" t="s">
        <v>91</v>
      </c>
      <c r="U20" s="78"/>
    </row>
    <row r="21" spans="1:21" x14ac:dyDescent="0.25">
      <c r="A21" s="181"/>
      <c r="B21" s="4">
        <v>17</v>
      </c>
      <c r="C21" s="171">
        <v>26.27</v>
      </c>
      <c r="D21" s="172"/>
      <c r="E21" s="78">
        <v>46233</v>
      </c>
      <c r="F21" s="115" t="s">
        <v>312</v>
      </c>
      <c r="G21" s="76">
        <v>9</v>
      </c>
      <c r="H21" s="115" t="s">
        <v>313</v>
      </c>
      <c r="I21" s="76">
        <v>9</v>
      </c>
      <c r="J21" s="115" t="s">
        <v>314</v>
      </c>
      <c r="K21" s="76">
        <v>9</v>
      </c>
      <c r="L21" s="79"/>
      <c r="M21" s="76"/>
      <c r="N21" s="76">
        <f t="shared" si="1"/>
        <v>27</v>
      </c>
      <c r="O21" s="76">
        <f t="shared" si="0"/>
        <v>0.73000000000000043</v>
      </c>
      <c r="P21" s="82">
        <f t="shared" si="2"/>
        <v>46240</v>
      </c>
      <c r="Q21" s="82">
        <f t="shared" si="3"/>
        <v>46247</v>
      </c>
      <c r="R21" s="78">
        <f t="shared" si="4"/>
        <v>46261</v>
      </c>
      <c r="S21" s="81" t="s">
        <v>91</v>
      </c>
      <c r="T21" s="81" t="s">
        <v>91</v>
      </c>
      <c r="U21" s="78"/>
    </row>
    <row r="22" spans="1:21" x14ac:dyDescent="0.25">
      <c r="A22" s="181"/>
      <c r="B22" s="4">
        <v>18</v>
      </c>
      <c r="C22" s="171">
        <v>26.27</v>
      </c>
      <c r="D22" s="172"/>
      <c r="E22" s="78">
        <v>46235</v>
      </c>
      <c r="F22" s="115" t="s">
        <v>300</v>
      </c>
      <c r="G22" s="76">
        <v>9</v>
      </c>
      <c r="H22" s="115" t="s">
        <v>301</v>
      </c>
      <c r="I22" s="76">
        <v>9</v>
      </c>
      <c r="J22" s="115" t="s">
        <v>302</v>
      </c>
      <c r="K22" s="76">
        <v>9</v>
      </c>
      <c r="L22" s="79"/>
      <c r="M22" s="76"/>
      <c r="N22" s="76">
        <f t="shared" si="1"/>
        <v>27</v>
      </c>
      <c r="O22" s="76">
        <f t="shared" si="0"/>
        <v>0.73000000000000043</v>
      </c>
      <c r="P22" s="82">
        <f t="shared" si="2"/>
        <v>46242</v>
      </c>
      <c r="Q22" s="80">
        <f t="shared" si="3"/>
        <v>46249</v>
      </c>
      <c r="R22" s="78">
        <f t="shared" si="4"/>
        <v>46263</v>
      </c>
      <c r="S22" s="81" t="s">
        <v>91</v>
      </c>
      <c r="T22" s="80"/>
      <c r="U22" s="78"/>
    </row>
    <row r="23" spans="1:21" x14ac:dyDescent="0.25">
      <c r="A23" s="181"/>
      <c r="B23" s="4">
        <v>19</v>
      </c>
      <c r="C23" s="171">
        <v>26.27</v>
      </c>
      <c r="D23" s="172"/>
      <c r="E23" s="78">
        <v>46233</v>
      </c>
      <c r="F23" s="115" t="s">
        <v>315</v>
      </c>
      <c r="G23" s="76">
        <v>9</v>
      </c>
      <c r="H23" s="115" t="s">
        <v>316</v>
      </c>
      <c r="I23" s="76">
        <v>9</v>
      </c>
      <c r="J23" s="115" t="s">
        <v>317</v>
      </c>
      <c r="K23" s="76">
        <v>9</v>
      </c>
      <c r="L23" s="79"/>
      <c r="M23" s="76"/>
      <c r="N23" s="76">
        <f t="shared" si="1"/>
        <v>27</v>
      </c>
      <c r="O23" s="76">
        <f t="shared" si="0"/>
        <v>0.73000000000000043</v>
      </c>
      <c r="P23" s="82">
        <f t="shared" si="2"/>
        <v>46240</v>
      </c>
      <c r="Q23" s="82">
        <f t="shared" si="3"/>
        <v>46247</v>
      </c>
      <c r="R23" s="78">
        <f t="shared" si="4"/>
        <v>46261</v>
      </c>
      <c r="S23" s="81" t="s">
        <v>91</v>
      </c>
      <c r="T23" s="81" t="s">
        <v>91</v>
      </c>
      <c r="U23" s="78"/>
    </row>
    <row r="24" spans="1:21" x14ac:dyDescent="0.25">
      <c r="A24" s="181"/>
      <c r="B24" s="4">
        <v>20</v>
      </c>
      <c r="C24" s="171">
        <v>26.27</v>
      </c>
      <c r="D24" s="172"/>
      <c r="E24" s="78">
        <v>46235</v>
      </c>
      <c r="F24" s="115" t="s">
        <v>303</v>
      </c>
      <c r="G24" s="76">
        <v>9</v>
      </c>
      <c r="H24" s="115" t="s">
        <v>304</v>
      </c>
      <c r="I24" s="76">
        <v>9</v>
      </c>
      <c r="J24" s="115" t="s">
        <v>305</v>
      </c>
      <c r="K24" s="76">
        <v>9</v>
      </c>
      <c r="L24" s="79"/>
      <c r="M24" s="76"/>
      <c r="N24" s="76">
        <f t="shared" si="1"/>
        <v>27</v>
      </c>
      <c r="O24" s="76">
        <f t="shared" si="0"/>
        <v>0.73000000000000043</v>
      </c>
      <c r="P24" s="82">
        <f t="shared" si="2"/>
        <v>46242</v>
      </c>
      <c r="Q24" s="80">
        <f t="shared" si="3"/>
        <v>46249</v>
      </c>
      <c r="R24" s="78">
        <f t="shared" si="4"/>
        <v>46263</v>
      </c>
      <c r="S24" s="81" t="s">
        <v>91</v>
      </c>
      <c r="T24" s="80"/>
      <c r="U24" s="78"/>
    </row>
    <row r="25" spans="1:21" x14ac:dyDescent="0.25">
      <c r="A25" s="181"/>
      <c r="B25" s="4">
        <v>21</v>
      </c>
      <c r="C25" s="171">
        <v>26.27</v>
      </c>
      <c r="D25" s="172"/>
      <c r="E25" s="78">
        <v>46234</v>
      </c>
      <c r="F25" s="115" t="s">
        <v>306</v>
      </c>
      <c r="G25" s="76">
        <v>9</v>
      </c>
      <c r="H25" s="115" t="s">
        <v>307</v>
      </c>
      <c r="I25" s="76">
        <v>9</v>
      </c>
      <c r="J25" s="115" t="s">
        <v>308</v>
      </c>
      <c r="K25" s="76">
        <v>9</v>
      </c>
      <c r="L25" s="79"/>
      <c r="M25" s="76"/>
      <c r="N25" s="76">
        <f t="shared" si="1"/>
        <v>27</v>
      </c>
      <c r="O25" s="76">
        <f t="shared" si="0"/>
        <v>0.73000000000000043</v>
      </c>
      <c r="P25" s="82">
        <f t="shared" si="2"/>
        <v>46241</v>
      </c>
      <c r="Q25" s="82">
        <f t="shared" si="3"/>
        <v>46248</v>
      </c>
      <c r="R25" s="78">
        <f t="shared" si="4"/>
        <v>46262</v>
      </c>
      <c r="S25" s="81" t="s">
        <v>91</v>
      </c>
      <c r="T25" s="81" t="s">
        <v>91</v>
      </c>
      <c r="U25" s="78"/>
    </row>
    <row r="26" spans="1:21" x14ac:dyDescent="0.25">
      <c r="A26" s="181"/>
      <c r="B26" s="4">
        <v>22</v>
      </c>
      <c r="C26" s="171">
        <v>26.27</v>
      </c>
      <c r="D26" s="172"/>
      <c r="E26" s="78">
        <v>46236</v>
      </c>
      <c r="F26" s="115" t="s">
        <v>297</v>
      </c>
      <c r="G26" s="76">
        <v>9</v>
      </c>
      <c r="H26" s="115" t="s">
        <v>298</v>
      </c>
      <c r="I26" s="76">
        <v>9</v>
      </c>
      <c r="J26" s="115" t="s">
        <v>299</v>
      </c>
      <c r="K26" s="76">
        <v>9</v>
      </c>
      <c r="L26" s="79"/>
      <c r="M26" s="76"/>
      <c r="N26" s="76">
        <f t="shared" si="1"/>
        <v>27</v>
      </c>
      <c r="O26" s="76">
        <f t="shared" si="0"/>
        <v>0.73000000000000043</v>
      </c>
      <c r="P26" s="82">
        <f t="shared" si="2"/>
        <v>46243</v>
      </c>
      <c r="Q26" s="80">
        <f t="shared" si="3"/>
        <v>46250</v>
      </c>
      <c r="R26" s="78">
        <f t="shared" si="4"/>
        <v>46264</v>
      </c>
      <c r="S26" s="81" t="s">
        <v>91</v>
      </c>
      <c r="T26" s="80"/>
      <c r="U26" s="78"/>
    </row>
    <row r="27" spans="1:21" x14ac:dyDescent="0.25">
      <c r="A27" s="181"/>
      <c r="B27" s="4">
        <v>23</v>
      </c>
      <c r="C27" s="171">
        <v>26.27</v>
      </c>
      <c r="D27" s="172"/>
      <c r="E27" s="78">
        <v>46236</v>
      </c>
      <c r="F27" s="115" t="s">
        <v>291</v>
      </c>
      <c r="G27" s="76">
        <v>9</v>
      </c>
      <c r="H27" s="115" t="s">
        <v>292</v>
      </c>
      <c r="I27" s="76">
        <v>9</v>
      </c>
      <c r="J27" s="115" t="s">
        <v>293</v>
      </c>
      <c r="K27" s="76">
        <v>9</v>
      </c>
      <c r="L27" s="79"/>
      <c r="M27" s="76"/>
      <c r="N27" s="76">
        <f t="shared" si="1"/>
        <v>27</v>
      </c>
      <c r="O27" s="76">
        <f t="shared" si="0"/>
        <v>0.73000000000000043</v>
      </c>
      <c r="P27" s="82">
        <f t="shared" si="2"/>
        <v>46243</v>
      </c>
      <c r="Q27" s="80">
        <f t="shared" si="3"/>
        <v>46250</v>
      </c>
      <c r="R27" s="78">
        <f t="shared" si="4"/>
        <v>46264</v>
      </c>
      <c r="S27" s="81" t="s">
        <v>91</v>
      </c>
      <c r="T27" s="80"/>
      <c r="U27" s="78"/>
    </row>
    <row r="28" spans="1:21" x14ac:dyDescent="0.25">
      <c r="A28" s="182"/>
      <c r="B28" s="4">
        <v>24</v>
      </c>
      <c r="C28" s="171">
        <v>26.27</v>
      </c>
      <c r="D28" s="172"/>
      <c r="E28" s="78">
        <v>46238</v>
      </c>
      <c r="F28" s="115" t="s">
        <v>539</v>
      </c>
      <c r="G28" s="76">
        <v>9</v>
      </c>
      <c r="H28" s="115" t="s">
        <v>540</v>
      </c>
      <c r="I28" s="76">
        <v>9</v>
      </c>
      <c r="J28" s="115" t="s">
        <v>541</v>
      </c>
      <c r="K28" s="76">
        <v>9</v>
      </c>
      <c r="L28" s="79"/>
      <c r="M28" s="76"/>
      <c r="N28" s="76">
        <f t="shared" si="1"/>
        <v>27</v>
      </c>
      <c r="O28" s="76">
        <f t="shared" si="0"/>
        <v>0.73000000000000043</v>
      </c>
      <c r="P28" s="82">
        <f t="shared" si="2"/>
        <v>46245</v>
      </c>
      <c r="Q28" s="80">
        <f t="shared" si="3"/>
        <v>46252</v>
      </c>
      <c r="R28" s="78">
        <f t="shared" si="4"/>
        <v>46266</v>
      </c>
      <c r="S28" s="81" t="s">
        <v>91</v>
      </c>
      <c r="T28" s="80"/>
      <c r="U28" s="78"/>
    </row>
    <row r="29" spans="1:21" x14ac:dyDescent="0.25">
      <c r="A29" s="74" t="s">
        <v>68</v>
      </c>
      <c r="B29" s="77"/>
      <c r="C29" s="171">
        <f>SUM(C5:D28)</f>
        <v>630.47999999999979</v>
      </c>
      <c r="D29" s="172"/>
      <c r="E29" s="174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</row>
  </sheetData>
  <autoFilter ref="A1:U29" xr:uid="{710F38C8-5730-4770-A1F1-35C7B3181A8E}">
    <filterColumn colId="0" showButton="0"/>
    <filterColumn colId="2" showButton="0"/>
  </autoFilter>
  <mergeCells count="46">
    <mergeCell ref="H1:H4"/>
    <mergeCell ref="A1:B3"/>
    <mergeCell ref="C1:D4"/>
    <mergeCell ref="E1:E4"/>
    <mergeCell ref="F1:F4"/>
    <mergeCell ref="G1:G4"/>
    <mergeCell ref="T1:T4"/>
    <mergeCell ref="I1:I4"/>
    <mergeCell ref="J1:J4"/>
    <mergeCell ref="K1:K4"/>
    <mergeCell ref="L1:L4"/>
    <mergeCell ref="M1:M4"/>
    <mergeCell ref="N1:N4"/>
    <mergeCell ref="C18:D18"/>
    <mergeCell ref="U1:U4"/>
    <mergeCell ref="A5:A28"/>
    <mergeCell ref="C5:D5"/>
    <mergeCell ref="C6:D6"/>
    <mergeCell ref="C7:D7"/>
    <mergeCell ref="C8:D8"/>
    <mergeCell ref="C9:D9"/>
    <mergeCell ref="C10:D10"/>
    <mergeCell ref="C11:D11"/>
    <mergeCell ref="C12:D12"/>
    <mergeCell ref="O1:O4"/>
    <mergeCell ref="P1:P4"/>
    <mergeCell ref="Q1:Q4"/>
    <mergeCell ref="R1:R4"/>
    <mergeCell ref="S1:S4"/>
    <mergeCell ref="C13:D13"/>
    <mergeCell ref="C14:D14"/>
    <mergeCell ref="C15:D15"/>
    <mergeCell ref="C16:D16"/>
    <mergeCell ref="C17:D17"/>
    <mergeCell ref="E29:U29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67425-04E3-425B-80F0-03B11988072E}">
  <dimension ref="A1:U29"/>
  <sheetViews>
    <sheetView topLeftCell="L1" zoomScale="55" zoomScaleNormal="55" workbookViewId="0">
      <selection activeCell="W30" sqref="W30"/>
    </sheetView>
  </sheetViews>
  <sheetFormatPr defaultRowHeight="15" x14ac:dyDescent="0.25"/>
  <cols>
    <col min="2" max="3" width="10.7109375" customWidth="1"/>
    <col min="4" max="4" width="11.28515625" customWidth="1"/>
    <col min="5" max="5" width="16.7109375" customWidth="1"/>
    <col min="6" max="15" width="16.85546875" customWidth="1"/>
    <col min="16" max="17" width="17.140625" customWidth="1"/>
    <col min="18" max="18" width="18.140625" customWidth="1"/>
    <col min="19" max="20" width="17.28515625" customWidth="1"/>
    <col min="21" max="21" width="18.7109375" customWidth="1"/>
  </cols>
  <sheetData>
    <row r="1" spans="1:21" ht="15" customHeight="1" x14ac:dyDescent="0.25">
      <c r="A1" s="128" t="s">
        <v>89</v>
      </c>
      <c r="B1" s="128"/>
      <c r="C1" s="174" t="s">
        <v>69</v>
      </c>
      <c r="D1" s="175"/>
      <c r="E1" s="173" t="s">
        <v>67</v>
      </c>
      <c r="F1" s="183" t="s">
        <v>70</v>
      </c>
      <c r="G1" s="187" t="s">
        <v>71</v>
      </c>
      <c r="H1" s="183" t="s">
        <v>70</v>
      </c>
      <c r="I1" s="187" t="s">
        <v>71</v>
      </c>
      <c r="J1" s="183" t="s">
        <v>70</v>
      </c>
      <c r="K1" s="187" t="s">
        <v>71</v>
      </c>
      <c r="L1" s="183" t="s">
        <v>70</v>
      </c>
      <c r="M1" s="187" t="s">
        <v>71</v>
      </c>
      <c r="N1" s="183" t="s">
        <v>68</v>
      </c>
      <c r="O1" s="183" t="s">
        <v>74</v>
      </c>
      <c r="P1" s="170" t="s">
        <v>72</v>
      </c>
      <c r="Q1" s="170" t="s">
        <v>78</v>
      </c>
      <c r="R1" s="170" t="s">
        <v>73</v>
      </c>
      <c r="S1" s="170" t="s">
        <v>76</v>
      </c>
      <c r="T1" s="170" t="s">
        <v>79</v>
      </c>
      <c r="U1" s="170" t="s">
        <v>77</v>
      </c>
    </row>
    <row r="2" spans="1:21" x14ac:dyDescent="0.25">
      <c r="A2" s="128"/>
      <c r="B2" s="128"/>
      <c r="C2" s="176"/>
      <c r="D2" s="177"/>
      <c r="E2" s="173"/>
      <c r="F2" s="184"/>
      <c r="G2" s="188"/>
      <c r="H2" s="184"/>
      <c r="I2" s="188"/>
      <c r="J2" s="184"/>
      <c r="K2" s="188"/>
      <c r="L2" s="184"/>
      <c r="M2" s="188"/>
      <c r="N2" s="184"/>
      <c r="O2" s="184"/>
      <c r="P2" s="170"/>
      <c r="Q2" s="170"/>
      <c r="R2" s="170"/>
      <c r="S2" s="170"/>
      <c r="T2" s="170"/>
      <c r="U2" s="170"/>
    </row>
    <row r="3" spans="1:21" ht="15" customHeight="1" x14ac:dyDescent="0.25">
      <c r="A3" s="128"/>
      <c r="B3" s="128"/>
      <c r="C3" s="176"/>
      <c r="D3" s="177"/>
      <c r="E3" s="173"/>
      <c r="F3" s="184"/>
      <c r="G3" s="188"/>
      <c r="H3" s="184"/>
      <c r="I3" s="188"/>
      <c r="J3" s="184"/>
      <c r="K3" s="188"/>
      <c r="L3" s="184"/>
      <c r="M3" s="188"/>
      <c r="N3" s="184"/>
      <c r="O3" s="184"/>
      <c r="P3" s="170"/>
      <c r="Q3" s="170"/>
      <c r="R3" s="170"/>
      <c r="S3" s="170"/>
      <c r="T3" s="170"/>
      <c r="U3" s="170"/>
    </row>
    <row r="4" spans="1:21" x14ac:dyDescent="0.25">
      <c r="A4" s="2" t="s">
        <v>0</v>
      </c>
      <c r="B4" s="75" t="s">
        <v>88</v>
      </c>
      <c r="C4" s="178"/>
      <c r="D4" s="179"/>
      <c r="E4" s="173"/>
      <c r="F4" s="185"/>
      <c r="G4" s="189"/>
      <c r="H4" s="185"/>
      <c r="I4" s="189"/>
      <c r="J4" s="185"/>
      <c r="K4" s="189"/>
      <c r="L4" s="185"/>
      <c r="M4" s="189"/>
      <c r="N4" s="185"/>
      <c r="O4" s="185"/>
      <c r="P4" s="170"/>
      <c r="Q4" s="170"/>
      <c r="R4" s="170"/>
      <c r="S4" s="170"/>
      <c r="T4" s="170"/>
      <c r="U4" s="170"/>
    </row>
    <row r="5" spans="1:21" x14ac:dyDescent="0.25">
      <c r="A5" s="180" t="s">
        <v>81</v>
      </c>
      <c r="B5" s="4">
        <v>1</v>
      </c>
      <c r="C5" s="171">
        <v>26.27</v>
      </c>
      <c r="D5" s="172"/>
      <c r="E5" s="78">
        <v>46241</v>
      </c>
      <c r="F5" s="114" t="s">
        <v>637</v>
      </c>
      <c r="G5" s="76">
        <v>9</v>
      </c>
      <c r="H5" s="114" t="s">
        <v>638</v>
      </c>
      <c r="I5" s="76">
        <v>9</v>
      </c>
      <c r="J5" s="114" t="s">
        <v>639</v>
      </c>
      <c r="K5" s="76">
        <v>9</v>
      </c>
      <c r="L5" s="76"/>
      <c r="M5" s="76"/>
      <c r="N5" s="76">
        <f>G5+I5+K5+M5</f>
        <v>27</v>
      </c>
      <c r="O5" s="76">
        <f t="shared" ref="O5:O28" si="0">N5-C5</f>
        <v>0.73000000000000043</v>
      </c>
      <c r="P5" s="82">
        <f>E5+7</f>
        <v>46248</v>
      </c>
      <c r="Q5" s="81">
        <f>E5+14</f>
        <v>46255</v>
      </c>
      <c r="R5" s="81">
        <f>E5+28</f>
        <v>46269</v>
      </c>
      <c r="S5" s="82" t="s">
        <v>91</v>
      </c>
      <c r="T5" s="81"/>
      <c r="U5" s="78"/>
    </row>
    <row r="6" spans="1:21" x14ac:dyDescent="0.25">
      <c r="A6" s="181"/>
      <c r="B6" s="4">
        <v>2</v>
      </c>
      <c r="C6" s="171">
        <v>26.27</v>
      </c>
      <c r="D6" s="172"/>
      <c r="E6" s="78">
        <v>46231</v>
      </c>
      <c r="F6" s="114" t="s">
        <v>217</v>
      </c>
      <c r="G6" s="76">
        <v>9</v>
      </c>
      <c r="H6" s="114" t="s">
        <v>218</v>
      </c>
      <c r="I6" s="76">
        <v>9</v>
      </c>
      <c r="J6" s="114" t="s">
        <v>219</v>
      </c>
      <c r="K6" s="76">
        <v>9</v>
      </c>
      <c r="L6" s="76"/>
      <c r="M6" s="76"/>
      <c r="N6" s="76">
        <f t="shared" ref="N6:N28" si="1">G6+I6+K6+M6</f>
        <v>27</v>
      </c>
      <c r="O6" s="76">
        <f t="shared" si="0"/>
        <v>0.73000000000000043</v>
      </c>
      <c r="P6" s="82">
        <f t="shared" ref="P6:P28" si="2">E6+7</f>
        <v>46238</v>
      </c>
      <c r="Q6" s="82">
        <f t="shared" ref="Q6:Q28" si="3">E6+14</f>
        <v>46245</v>
      </c>
      <c r="R6" s="81">
        <f t="shared" ref="R6:R28" si="4">E6+28</f>
        <v>46259</v>
      </c>
      <c r="S6" s="82" t="s">
        <v>91</v>
      </c>
      <c r="T6" s="82" t="s">
        <v>91</v>
      </c>
      <c r="U6" s="78"/>
    </row>
    <row r="7" spans="1:21" x14ac:dyDescent="0.25">
      <c r="A7" s="181"/>
      <c r="B7" s="4">
        <v>3</v>
      </c>
      <c r="C7" s="171">
        <v>26.27</v>
      </c>
      <c r="D7" s="172"/>
      <c r="E7" s="78">
        <v>46233</v>
      </c>
      <c r="F7" s="114" t="s">
        <v>343</v>
      </c>
      <c r="G7" s="76">
        <v>9</v>
      </c>
      <c r="H7" s="114" t="s">
        <v>344</v>
      </c>
      <c r="I7" s="76">
        <v>9</v>
      </c>
      <c r="J7" s="114" t="s">
        <v>345</v>
      </c>
      <c r="K7" s="76">
        <v>9</v>
      </c>
      <c r="L7" s="76"/>
      <c r="M7" s="76"/>
      <c r="N7" s="76">
        <f t="shared" si="1"/>
        <v>27</v>
      </c>
      <c r="O7" s="76">
        <f t="shared" si="0"/>
        <v>0.73000000000000043</v>
      </c>
      <c r="P7" s="82">
        <f t="shared" si="2"/>
        <v>46240</v>
      </c>
      <c r="Q7" s="82">
        <f t="shared" si="3"/>
        <v>46247</v>
      </c>
      <c r="R7" s="81">
        <f t="shared" si="4"/>
        <v>46261</v>
      </c>
      <c r="S7" s="82" t="s">
        <v>91</v>
      </c>
      <c r="T7" s="82" t="s">
        <v>91</v>
      </c>
      <c r="U7" s="78" t="s">
        <v>75</v>
      </c>
    </row>
    <row r="8" spans="1:21" x14ac:dyDescent="0.25">
      <c r="A8" s="181"/>
      <c r="B8" s="4">
        <v>4</v>
      </c>
      <c r="C8" s="171">
        <v>26.27</v>
      </c>
      <c r="D8" s="172"/>
      <c r="E8" s="78">
        <v>46232</v>
      </c>
      <c r="F8" s="114" t="s">
        <v>244</v>
      </c>
      <c r="G8" s="76">
        <v>9</v>
      </c>
      <c r="H8" s="114" t="s">
        <v>245</v>
      </c>
      <c r="I8" s="76">
        <v>9</v>
      </c>
      <c r="J8" s="114" t="s">
        <v>246</v>
      </c>
      <c r="K8" s="76">
        <v>9</v>
      </c>
      <c r="L8" s="76"/>
      <c r="M8" s="76"/>
      <c r="N8" s="76">
        <f t="shared" si="1"/>
        <v>27</v>
      </c>
      <c r="O8" s="76">
        <f t="shared" si="0"/>
        <v>0.73000000000000043</v>
      </c>
      <c r="P8" s="82">
        <f t="shared" si="2"/>
        <v>46239</v>
      </c>
      <c r="Q8" s="82">
        <f t="shared" si="3"/>
        <v>46246</v>
      </c>
      <c r="R8" s="81">
        <f t="shared" si="4"/>
        <v>46260</v>
      </c>
      <c r="S8" s="82" t="s">
        <v>91</v>
      </c>
      <c r="T8" s="82" t="s">
        <v>91</v>
      </c>
      <c r="U8" s="78"/>
    </row>
    <row r="9" spans="1:21" x14ac:dyDescent="0.25">
      <c r="A9" s="181"/>
      <c r="B9" s="4">
        <v>5</v>
      </c>
      <c r="C9" s="171">
        <v>26.27</v>
      </c>
      <c r="D9" s="172"/>
      <c r="E9" s="78">
        <v>46223</v>
      </c>
      <c r="F9" s="114" t="s">
        <v>481</v>
      </c>
      <c r="G9" s="76">
        <v>9</v>
      </c>
      <c r="H9" s="114" t="s">
        <v>482</v>
      </c>
      <c r="I9" s="76">
        <v>9</v>
      </c>
      <c r="J9" s="114" t="s">
        <v>483</v>
      </c>
      <c r="K9" s="76">
        <v>9</v>
      </c>
      <c r="L9" s="76"/>
      <c r="M9" s="76"/>
      <c r="N9" s="76">
        <f t="shared" si="1"/>
        <v>27</v>
      </c>
      <c r="O9" s="76">
        <f t="shared" si="0"/>
        <v>0.73000000000000043</v>
      </c>
      <c r="P9" s="82">
        <f t="shared" si="2"/>
        <v>46230</v>
      </c>
      <c r="Q9" s="82">
        <f t="shared" si="3"/>
        <v>46237</v>
      </c>
      <c r="R9" s="81">
        <f t="shared" si="4"/>
        <v>46251</v>
      </c>
      <c r="S9" s="82" t="s">
        <v>91</v>
      </c>
      <c r="T9" s="82" t="s">
        <v>91</v>
      </c>
      <c r="U9" s="78"/>
    </row>
    <row r="10" spans="1:21" x14ac:dyDescent="0.25">
      <c r="A10" s="181"/>
      <c r="B10" s="4">
        <v>6</v>
      </c>
      <c r="C10" s="171">
        <v>26.27</v>
      </c>
      <c r="D10" s="172"/>
      <c r="E10" s="78">
        <v>46237</v>
      </c>
      <c r="F10" s="114" t="s">
        <v>318</v>
      </c>
      <c r="G10" s="76">
        <v>9</v>
      </c>
      <c r="H10" s="114" t="s">
        <v>322</v>
      </c>
      <c r="I10" s="76">
        <v>9</v>
      </c>
      <c r="J10" s="114" t="s">
        <v>323</v>
      </c>
      <c r="K10" s="76">
        <v>9</v>
      </c>
      <c r="L10" s="76"/>
      <c r="M10" s="76"/>
      <c r="N10" s="76">
        <f t="shared" si="1"/>
        <v>27</v>
      </c>
      <c r="O10" s="76">
        <f t="shared" si="0"/>
        <v>0.73000000000000043</v>
      </c>
      <c r="P10" s="82">
        <f t="shared" si="2"/>
        <v>46244</v>
      </c>
      <c r="Q10" s="81">
        <f t="shared" si="3"/>
        <v>46251</v>
      </c>
      <c r="R10" s="81">
        <f t="shared" si="4"/>
        <v>46265</v>
      </c>
      <c r="S10" s="82" t="s">
        <v>91</v>
      </c>
      <c r="T10" s="81"/>
      <c r="U10" s="78"/>
    </row>
    <row r="11" spans="1:21" x14ac:dyDescent="0.25">
      <c r="A11" s="181"/>
      <c r="B11" s="4">
        <v>7</v>
      </c>
      <c r="C11" s="171">
        <v>26.27</v>
      </c>
      <c r="D11" s="172"/>
      <c r="E11" s="78">
        <v>46235</v>
      </c>
      <c r="F11" s="115" t="s">
        <v>331</v>
      </c>
      <c r="G11" s="76">
        <v>9.5</v>
      </c>
      <c r="H11" s="115" t="s">
        <v>332</v>
      </c>
      <c r="I11" s="76">
        <v>9.5</v>
      </c>
      <c r="J11" s="115" t="s">
        <v>333</v>
      </c>
      <c r="K11" s="76">
        <v>9</v>
      </c>
      <c r="L11" s="76"/>
      <c r="M11" s="76"/>
      <c r="N11" s="76">
        <f t="shared" si="1"/>
        <v>28</v>
      </c>
      <c r="O11" s="76">
        <f t="shared" si="0"/>
        <v>1.7300000000000004</v>
      </c>
      <c r="P11" s="82">
        <f t="shared" si="2"/>
        <v>46242</v>
      </c>
      <c r="Q11" s="81">
        <f t="shared" si="3"/>
        <v>46249</v>
      </c>
      <c r="R11" s="81">
        <f t="shared" si="4"/>
        <v>46263</v>
      </c>
      <c r="S11" s="82" t="s">
        <v>91</v>
      </c>
      <c r="T11" s="81"/>
      <c r="U11" s="78"/>
    </row>
    <row r="12" spans="1:21" x14ac:dyDescent="0.25">
      <c r="A12" s="181"/>
      <c r="B12" s="4">
        <v>8</v>
      </c>
      <c r="C12" s="171">
        <v>26.27</v>
      </c>
      <c r="D12" s="172"/>
      <c r="E12" s="78">
        <v>46238</v>
      </c>
      <c r="F12" s="114" t="s">
        <v>545</v>
      </c>
      <c r="G12" s="76">
        <v>9</v>
      </c>
      <c r="H12" s="114" t="s">
        <v>546</v>
      </c>
      <c r="I12" s="76">
        <v>9</v>
      </c>
      <c r="J12" s="114" t="s">
        <v>547</v>
      </c>
      <c r="K12" s="76">
        <v>9</v>
      </c>
      <c r="L12" s="76"/>
      <c r="M12" s="76"/>
      <c r="N12" s="76">
        <f t="shared" si="1"/>
        <v>27</v>
      </c>
      <c r="O12" s="76">
        <f t="shared" si="0"/>
        <v>0.73000000000000043</v>
      </c>
      <c r="P12" s="82">
        <f t="shared" si="2"/>
        <v>46245</v>
      </c>
      <c r="Q12" s="81">
        <f t="shared" si="3"/>
        <v>46252</v>
      </c>
      <c r="R12" s="81">
        <f t="shared" si="4"/>
        <v>46266</v>
      </c>
      <c r="S12" s="82" t="s">
        <v>91</v>
      </c>
      <c r="T12" s="81"/>
      <c r="U12" s="78"/>
    </row>
    <row r="13" spans="1:21" x14ac:dyDescent="0.25">
      <c r="A13" s="181"/>
      <c r="B13" s="4">
        <v>9</v>
      </c>
      <c r="C13" s="171">
        <v>26.27</v>
      </c>
      <c r="D13" s="172"/>
      <c r="E13" s="78">
        <v>46236</v>
      </c>
      <c r="F13" s="114" t="s">
        <v>327</v>
      </c>
      <c r="G13" s="76">
        <v>1.5</v>
      </c>
      <c r="H13" s="114" t="s">
        <v>328</v>
      </c>
      <c r="I13" s="76">
        <v>9</v>
      </c>
      <c r="J13" s="114" t="s">
        <v>329</v>
      </c>
      <c r="K13" s="76">
        <v>9</v>
      </c>
      <c r="L13" s="114" t="s">
        <v>330</v>
      </c>
      <c r="M13" s="76">
        <v>9</v>
      </c>
      <c r="N13" s="76">
        <f t="shared" si="1"/>
        <v>28.5</v>
      </c>
      <c r="O13" s="76">
        <f t="shared" si="0"/>
        <v>2.2300000000000004</v>
      </c>
      <c r="P13" s="82">
        <f t="shared" si="2"/>
        <v>46243</v>
      </c>
      <c r="Q13" s="81">
        <f t="shared" si="3"/>
        <v>46250</v>
      </c>
      <c r="R13" s="81">
        <f t="shared" si="4"/>
        <v>46264</v>
      </c>
      <c r="S13" s="82" t="s">
        <v>91</v>
      </c>
      <c r="T13" s="81"/>
      <c r="U13" s="78"/>
    </row>
    <row r="14" spans="1:21" x14ac:dyDescent="0.25">
      <c r="A14" s="181"/>
      <c r="B14" s="4">
        <v>10</v>
      </c>
      <c r="C14" s="171">
        <v>26.27</v>
      </c>
      <c r="D14" s="172"/>
      <c r="E14" s="78">
        <v>46234</v>
      </c>
      <c r="F14" s="114" t="s">
        <v>337</v>
      </c>
      <c r="G14" s="76">
        <v>9.5</v>
      </c>
      <c r="H14" s="114" t="s">
        <v>338</v>
      </c>
      <c r="I14" s="76">
        <v>9.5</v>
      </c>
      <c r="J14" s="114" t="s">
        <v>339</v>
      </c>
      <c r="K14" s="76">
        <v>9</v>
      </c>
      <c r="L14" s="76"/>
      <c r="M14" s="76"/>
      <c r="N14" s="76">
        <f t="shared" si="1"/>
        <v>28</v>
      </c>
      <c r="O14" s="76">
        <f t="shared" si="0"/>
        <v>1.7300000000000004</v>
      </c>
      <c r="P14" s="82">
        <f t="shared" si="2"/>
        <v>46241</v>
      </c>
      <c r="Q14" s="82">
        <f t="shared" si="3"/>
        <v>46248</v>
      </c>
      <c r="R14" s="81">
        <f t="shared" si="4"/>
        <v>46262</v>
      </c>
      <c r="S14" s="82" t="s">
        <v>91</v>
      </c>
      <c r="T14" s="82" t="s">
        <v>91</v>
      </c>
      <c r="U14" s="78"/>
    </row>
    <row r="15" spans="1:21" x14ac:dyDescent="0.25">
      <c r="A15" s="181"/>
      <c r="B15" s="4">
        <v>11</v>
      </c>
      <c r="C15" s="171">
        <v>26.27</v>
      </c>
      <c r="D15" s="172"/>
      <c r="E15" s="78">
        <v>46224</v>
      </c>
      <c r="F15" s="115" t="s">
        <v>478</v>
      </c>
      <c r="G15" s="76">
        <v>9</v>
      </c>
      <c r="H15" s="115" t="s">
        <v>479</v>
      </c>
      <c r="I15" s="76">
        <v>9</v>
      </c>
      <c r="J15" s="115" t="s">
        <v>480</v>
      </c>
      <c r="K15" s="76">
        <v>9</v>
      </c>
      <c r="L15" s="76"/>
      <c r="M15" s="76"/>
      <c r="N15" s="76">
        <f t="shared" si="1"/>
        <v>27</v>
      </c>
      <c r="O15" s="76">
        <f t="shared" si="0"/>
        <v>0.73000000000000043</v>
      </c>
      <c r="P15" s="82">
        <f t="shared" si="2"/>
        <v>46231</v>
      </c>
      <c r="Q15" s="82">
        <f t="shared" si="3"/>
        <v>46238</v>
      </c>
      <c r="R15" s="81">
        <f t="shared" si="4"/>
        <v>46252</v>
      </c>
      <c r="S15" s="82" t="s">
        <v>91</v>
      </c>
      <c r="T15" s="82" t="s">
        <v>91</v>
      </c>
      <c r="U15" s="78"/>
    </row>
    <row r="16" spans="1:21" x14ac:dyDescent="0.25">
      <c r="A16" s="181"/>
      <c r="B16" s="4">
        <v>12</v>
      </c>
      <c r="C16" s="171">
        <v>26.27</v>
      </c>
      <c r="D16" s="172"/>
      <c r="E16" s="78">
        <v>46228</v>
      </c>
      <c r="F16" s="115" t="s">
        <v>128</v>
      </c>
      <c r="G16" s="76">
        <v>9</v>
      </c>
      <c r="H16" s="114" t="s">
        <v>129</v>
      </c>
      <c r="I16" s="76">
        <v>9</v>
      </c>
      <c r="J16" s="114" t="s">
        <v>130</v>
      </c>
      <c r="K16" s="76">
        <v>9</v>
      </c>
      <c r="L16" s="76"/>
      <c r="M16" s="76"/>
      <c r="N16" s="76">
        <f t="shared" si="1"/>
        <v>27</v>
      </c>
      <c r="O16" s="76">
        <f t="shared" si="0"/>
        <v>0.73000000000000043</v>
      </c>
      <c r="P16" s="82">
        <f t="shared" si="2"/>
        <v>46235</v>
      </c>
      <c r="Q16" s="82">
        <f t="shared" si="3"/>
        <v>46242</v>
      </c>
      <c r="R16" s="81">
        <f t="shared" si="4"/>
        <v>46256</v>
      </c>
      <c r="S16" s="82" t="s">
        <v>91</v>
      </c>
      <c r="T16" s="82" t="s">
        <v>91</v>
      </c>
      <c r="U16" s="78"/>
    </row>
    <row r="17" spans="1:21" x14ac:dyDescent="0.25">
      <c r="A17" s="181"/>
      <c r="B17" s="4">
        <v>13</v>
      </c>
      <c r="C17" s="171">
        <v>26.27</v>
      </c>
      <c r="D17" s="172"/>
      <c r="E17" s="78">
        <v>46219</v>
      </c>
      <c r="F17" s="114" t="s">
        <v>484</v>
      </c>
      <c r="G17" s="76">
        <v>5</v>
      </c>
      <c r="H17" s="114" t="s">
        <v>485</v>
      </c>
      <c r="I17" s="76">
        <v>5</v>
      </c>
      <c r="J17" s="114" t="s">
        <v>486</v>
      </c>
      <c r="K17" s="76">
        <v>9</v>
      </c>
      <c r="L17" s="114" t="s">
        <v>487</v>
      </c>
      <c r="M17" s="76">
        <f>9+9</f>
        <v>18</v>
      </c>
      <c r="N17" s="76">
        <f t="shared" si="1"/>
        <v>37</v>
      </c>
      <c r="O17" s="76">
        <f t="shared" si="0"/>
        <v>10.73</v>
      </c>
      <c r="P17" s="82">
        <f t="shared" si="2"/>
        <v>46226</v>
      </c>
      <c r="Q17" s="82">
        <f t="shared" si="3"/>
        <v>46233</v>
      </c>
      <c r="R17" s="82">
        <f t="shared" si="4"/>
        <v>46247</v>
      </c>
      <c r="S17" s="82" t="s">
        <v>91</v>
      </c>
      <c r="T17" s="82" t="s">
        <v>91</v>
      </c>
      <c r="U17" s="119" t="s">
        <v>91</v>
      </c>
    </row>
    <row r="18" spans="1:21" x14ac:dyDescent="0.25">
      <c r="A18" s="181"/>
      <c r="B18" s="4">
        <v>14</v>
      </c>
      <c r="C18" s="171">
        <v>26.27</v>
      </c>
      <c r="D18" s="172"/>
      <c r="E18" s="78">
        <v>46230</v>
      </c>
      <c r="F18" s="115" t="s">
        <v>195</v>
      </c>
      <c r="G18" s="76">
        <v>1.5</v>
      </c>
      <c r="H18" s="115" t="s">
        <v>196</v>
      </c>
      <c r="I18" s="76">
        <v>9</v>
      </c>
      <c r="J18" s="115" t="s">
        <v>197</v>
      </c>
      <c r="K18" s="76">
        <v>9</v>
      </c>
      <c r="L18" s="115" t="s">
        <v>198</v>
      </c>
      <c r="M18" s="76">
        <v>9</v>
      </c>
      <c r="N18" s="76">
        <f t="shared" si="1"/>
        <v>28.5</v>
      </c>
      <c r="O18" s="76">
        <f t="shared" si="0"/>
        <v>2.2300000000000004</v>
      </c>
      <c r="P18" s="82">
        <f t="shared" si="2"/>
        <v>46237</v>
      </c>
      <c r="Q18" s="82">
        <f t="shared" si="3"/>
        <v>46244</v>
      </c>
      <c r="R18" s="81">
        <f t="shared" si="4"/>
        <v>46258</v>
      </c>
      <c r="S18" s="82" t="s">
        <v>91</v>
      </c>
      <c r="T18" s="82" t="s">
        <v>91</v>
      </c>
      <c r="U18" s="78"/>
    </row>
    <row r="19" spans="1:21" x14ac:dyDescent="0.25">
      <c r="A19" s="181"/>
      <c r="B19" s="4">
        <v>15</v>
      </c>
      <c r="C19" s="171">
        <v>26.27</v>
      </c>
      <c r="D19" s="172"/>
      <c r="E19" s="78">
        <v>46228</v>
      </c>
      <c r="F19" s="115" t="s">
        <v>143</v>
      </c>
      <c r="G19" s="76">
        <v>2.5</v>
      </c>
      <c r="H19" s="116" t="s">
        <v>144</v>
      </c>
      <c r="I19" s="76">
        <v>9</v>
      </c>
      <c r="J19" s="116" t="s">
        <v>145</v>
      </c>
      <c r="K19" s="76">
        <v>9</v>
      </c>
      <c r="L19" s="115" t="s">
        <v>146</v>
      </c>
      <c r="M19" s="76">
        <v>9</v>
      </c>
      <c r="N19" s="76">
        <f t="shared" si="1"/>
        <v>29.5</v>
      </c>
      <c r="O19" s="76">
        <f t="shared" si="0"/>
        <v>3.2300000000000004</v>
      </c>
      <c r="P19" s="82">
        <f t="shared" si="2"/>
        <v>46235</v>
      </c>
      <c r="Q19" s="82">
        <f t="shared" si="3"/>
        <v>46242</v>
      </c>
      <c r="R19" s="78">
        <f t="shared" si="4"/>
        <v>46256</v>
      </c>
      <c r="S19" s="82" t="s">
        <v>91</v>
      </c>
      <c r="T19" s="82" t="s">
        <v>91</v>
      </c>
      <c r="U19" s="78"/>
    </row>
    <row r="20" spans="1:21" x14ac:dyDescent="0.25">
      <c r="A20" s="181"/>
      <c r="B20" s="4">
        <v>16</v>
      </c>
      <c r="C20" s="171">
        <v>26.27</v>
      </c>
      <c r="D20" s="172"/>
      <c r="E20" s="78">
        <v>46229</v>
      </c>
      <c r="F20" s="115" t="s">
        <v>162</v>
      </c>
      <c r="G20" s="76">
        <v>9</v>
      </c>
      <c r="H20" s="115" t="s">
        <v>163</v>
      </c>
      <c r="I20" s="76">
        <v>9</v>
      </c>
      <c r="J20" s="115" t="s">
        <v>164</v>
      </c>
      <c r="K20" s="76">
        <v>9</v>
      </c>
      <c r="L20" s="79"/>
      <c r="M20" s="76"/>
      <c r="N20" s="76">
        <f t="shared" si="1"/>
        <v>27</v>
      </c>
      <c r="O20" s="76">
        <f t="shared" si="0"/>
        <v>0.73000000000000043</v>
      </c>
      <c r="P20" s="82">
        <f t="shared" si="2"/>
        <v>46236</v>
      </c>
      <c r="Q20" s="82">
        <f t="shared" si="3"/>
        <v>46243</v>
      </c>
      <c r="R20" s="78">
        <f t="shared" si="4"/>
        <v>46257</v>
      </c>
      <c r="S20" s="82" t="s">
        <v>91</v>
      </c>
      <c r="T20" s="82" t="s">
        <v>91</v>
      </c>
      <c r="U20" s="78"/>
    </row>
    <row r="21" spans="1:21" x14ac:dyDescent="0.25">
      <c r="A21" s="181"/>
      <c r="B21" s="4">
        <v>17</v>
      </c>
      <c r="C21" s="171">
        <v>26.27</v>
      </c>
      <c r="D21" s="172"/>
      <c r="E21" s="78">
        <v>46232</v>
      </c>
      <c r="F21" s="115" t="s">
        <v>235</v>
      </c>
      <c r="G21" s="76">
        <v>9</v>
      </c>
      <c r="H21" s="115" t="s">
        <v>236</v>
      </c>
      <c r="I21" s="76">
        <v>9</v>
      </c>
      <c r="J21" s="115" t="s">
        <v>237</v>
      </c>
      <c r="K21" s="76">
        <v>9</v>
      </c>
      <c r="L21" s="79"/>
      <c r="M21" s="76"/>
      <c r="N21" s="76">
        <f t="shared" si="1"/>
        <v>27</v>
      </c>
      <c r="O21" s="76">
        <f t="shared" si="0"/>
        <v>0.73000000000000043</v>
      </c>
      <c r="P21" s="82">
        <f t="shared" si="2"/>
        <v>46239</v>
      </c>
      <c r="Q21" s="82">
        <f t="shared" si="3"/>
        <v>46246</v>
      </c>
      <c r="R21" s="78">
        <f t="shared" si="4"/>
        <v>46260</v>
      </c>
      <c r="S21" s="82" t="s">
        <v>91</v>
      </c>
      <c r="T21" s="82" t="s">
        <v>91</v>
      </c>
      <c r="U21" s="78"/>
    </row>
    <row r="22" spans="1:21" x14ac:dyDescent="0.25">
      <c r="A22" s="181"/>
      <c r="B22" s="4">
        <v>18</v>
      </c>
      <c r="C22" s="171">
        <v>26.27</v>
      </c>
      <c r="D22" s="172"/>
      <c r="E22" s="78">
        <v>46229</v>
      </c>
      <c r="F22" s="115" t="s">
        <v>164</v>
      </c>
      <c r="G22" s="76">
        <v>9</v>
      </c>
      <c r="H22" s="115" t="s">
        <v>174</v>
      </c>
      <c r="I22" s="76">
        <v>9</v>
      </c>
      <c r="J22" s="115" t="s">
        <v>175</v>
      </c>
      <c r="K22" s="76">
        <v>9</v>
      </c>
      <c r="L22" s="79"/>
      <c r="M22" s="76"/>
      <c r="N22" s="76">
        <f t="shared" si="1"/>
        <v>27</v>
      </c>
      <c r="O22" s="76">
        <f t="shared" si="0"/>
        <v>0.73000000000000043</v>
      </c>
      <c r="P22" s="82">
        <f t="shared" si="2"/>
        <v>46236</v>
      </c>
      <c r="Q22" s="82">
        <f t="shared" si="3"/>
        <v>46243</v>
      </c>
      <c r="R22" s="78">
        <f t="shared" si="4"/>
        <v>46257</v>
      </c>
      <c r="S22" s="82" t="s">
        <v>91</v>
      </c>
      <c r="T22" s="82" t="s">
        <v>91</v>
      </c>
      <c r="U22" s="78"/>
    </row>
    <row r="23" spans="1:21" x14ac:dyDescent="0.25">
      <c r="A23" s="181"/>
      <c r="B23" s="4">
        <v>19</v>
      </c>
      <c r="C23" s="171">
        <v>26.27</v>
      </c>
      <c r="D23" s="172"/>
      <c r="E23" s="78">
        <v>46230</v>
      </c>
      <c r="F23" s="115" t="s">
        <v>183</v>
      </c>
      <c r="G23" s="76">
        <v>9</v>
      </c>
      <c r="H23" s="115" t="s">
        <v>184</v>
      </c>
      <c r="I23" s="76">
        <v>9</v>
      </c>
      <c r="J23" s="115" t="s">
        <v>185</v>
      </c>
      <c r="K23" s="76">
        <v>9</v>
      </c>
      <c r="L23" s="79"/>
      <c r="M23" s="76"/>
      <c r="N23" s="76">
        <f t="shared" si="1"/>
        <v>27</v>
      </c>
      <c r="O23" s="76">
        <f t="shared" si="0"/>
        <v>0.73000000000000043</v>
      </c>
      <c r="P23" s="82">
        <f t="shared" si="2"/>
        <v>46237</v>
      </c>
      <c r="Q23" s="82">
        <f t="shared" si="3"/>
        <v>46244</v>
      </c>
      <c r="R23" s="78">
        <f t="shared" si="4"/>
        <v>46258</v>
      </c>
      <c r="S23" s="82" t="s">
        <v>91</v>
      </c>
      <c r="T23" s="82" t="s">
        <v>91</v>
      </c>
      <c r="U23" s="78"/>
    </row>
    <row r="24" spans="1:21" x14ac:dyDescent="0.25">
      <c r="A24" s="181"/>
      <c r="B24" s="4">
        <v>20</v>
      </c>
      <c r="C24" s="171">
        <v>26.27</v>
      </c>
      <c r="D24" s="172"/>
      <c r="E24" s="78">
        <v>46231</v>
      </c>
      <c r="F24" s="115" t="s">
        <v>205</v>
      </c>
      <c r="G24" s="76">
        <v>9</v>
      </c>
      <c r="H24" s="115" t="s">
        <v>206</v>
      </c>
      <c r="I24" s="76">
        <v>9</v>
      </c>
      <c r="J24" s="115" t="s">
        <v>207</v>
      </c>
      <c r="K24" s="76">
        <v>9</v>
      </c>
      <c r="L24" s="79"/>
      <c r="M24" s="76"/>
      <c r="N24" s="76">
        <f t="shared" si="1"/>
        <v>27</v>
      </c>
      <c r="O24" s="76">
        <f t="shared" si="0"/>
        <v>0.73000000000000043</v>
      </c>
      <c r="P24" s="82">
        <f t="shared" si="2"/>
        <v>46238</v>
      </c>
      <c r="Q24" s="82">
        <f t="shared" si="3"/>
        <v>46245</v>
      </c>
      <c r="R24" s="78">
        <f t="shared" si="4"/>
        <v>46259</v>
      </c>
      <c r="S24" s="82" t="s">
        <v>91</v>
      </c>
      <c r="T24" s="82" t="s">
        <v>91</v>
      </c>
      <c r="U24" s="78"/>
    </row>
    <row r="25" spans="1:21" x14ac:dyDescent="0.25">
      <c r="A25" s="181"/>
      <c r="B25" s="4">
        <v>21</v>
      </c>
      <c r="C25" s="171">
        <v>26.27</v>
      </c>
      <c r="D25" s="172"/>
      <c r="E25" s="78">
        <v>46233</v>
      </c>
      <c r="F25" s="115" t="s">
        <v>340</v>
      </c>
      <c r="G25" s="76">
        <v>9</v>
      </c>
      <c r="H25" s="115" t="s">
        <v>341</v>
      </c>
      <c r="I25" s="76">
        <v>9</v>
      </c>
      <c r="J25" s="115" t="s">
        <v>342</v>
      </c>
      <c r="K25" s="76">
        <v>9</v>
      </c>
      <c r="L25" s="79"/>
      <c r="M25" s="76"/>
      <c r="N25" s="76">
        <f t="shared" si="1"/>
        <v>27</v>
      </c>
      <c r="O25" s="76">
        <f t="shared" si="0"/>
        <v>0.73000000000000043</v>
      </c>
      <c r="P25" s="82">
        <f t="shared" si="2"/>
        <v>46240</v>
      </c>
      <c r="Q25" s="82">
        <f t="shared" si="3"/>
        <v>46247</v>
      </c>
      <c r="R25" s="78">
        <f t="shared" si="4"/>
        <v>46261</v>
      </c>
      <c r="S25" s="82" t="s">
        <v>91</v>
      </c>
      <c r="T25" s="82" t="s">
        <v>91</v>
      </c>
      <c r="U25" s="78"/>
    </row>
    <row r="26" spans="1:21" x14ac:dyDescent="0.25">
      <c r="A26" s="181"/>
      <c r="B26" s="4">
        <v>22</v>
      </c>
      <c r="C26" s="171">
        <v>26.27</v>
      </c>
      <c r="D26" s="172"/>
      <c r="E26" s="78">
        <v>46234</v>
      </c>
      <c r="F26" s="115" t="s">
        <v>334</v>
      </c>
      <c r="G26" s="76">
        <v>9</v>
      </c>
      <c r="H26" s="115" t="s">
        <v>335</v>
      </c>
      <c r="I26" s="76">
        <v>9</v>
      </c>
      <c r="J26" s="115" t="s">
        <v>336</v>
      </c>
      <c r="K26" s="76">
        <v>9</v>
      </c>
      <c r="L26" s="79"/>
      <c r="M26" s="76"/>
      <c r="N26" s="76">
        <f t="shared" si="1"/>
        <v>27</v>
      </c>
      <c r="O26" s="76">
        <f t="shared" si="0"/>
        <v>0.73000000000000043</v>
      </c>
      <c r="P26" s="82">
        <f t="shared" si="2"/>
        <v>46241</v>
      </c>
      <c r="Q26" s="80">
        <f t="shared" si="3"/>
        <v>46248</v>
      </c>
      <c r="R26" s="78">
        <f t="shared" si="4"/>
        <v>46262</v>
      </c>
      <c r="S26" s="82" t="s">
        <v>91</v>
      </c>
      <c r="T26" s="80"/>
      <c r="U26" s="78"/>
    </row>
    <row r="27" spans="1:21" x14ac:dyDescent="0.25">
      <c r="A27" s="181"/>
      <c r="B27" s="4">
        <v>23</v>
      </c>
      <c r="C27" s="171">
        <v>26.27</v>
      </c>
      <c r="D27" s="172"/>
      <c r="E27" s="78">
        <v>46236</v>
      </c>
      <c r="F27" s="115" t="s">
        <v>324</v>
      </c>
      <c r="G27" s="76">
        <v>9</v>
      </c>
      <c r="H27" s="115" t="s">
        <v>325</v>
      </c>
      <c r="I27" s="76">
        <v>9</v>
      </c>
      <c r="J27" s="115" t="s">
        <v>326</v>
      </c>
      <c r="K27" s="76">
        <v>9</v>
      </c>
      <c r="L27" s="79"/>
      <c r="M27" s="76"/>
      <c r="N27" s="76">
        <f t="shared" si="1"/>
        <v>27</v>
      </c>
      <c r="O27" s="76">
        <f t="shared" si="0"/>
        <v>0.73000000000000043</v>
      </c>
      <c r="P27" s="82">
        <f t="shared" si="2"/>
        <v>46243</v>
      </c>
      <c r="Q27" s="80">
        <f t="shared" si="3"/>
        <v>46250</v>
      </c>
      <c r="R27" s="78">
        <f t="shared" si="4"/>
        <v>46264</v>
      </c>
      <c r="S27" s="82" t="s">
        <v>91</v>
      </c>
      <c r="T27" s="80"/>
      <c r="U27" s="78"/>
    </row>
    <row r="28" spans="1:21" x14ac:dyDescent="0.25">
      <c r="A28" s="182"/>
      <c r="B28" s="4">
        <v>24</v>
      </c>
      <c r="C28" s="171">
        <v>26.27</v>
      </c>
      <c r="D28" s="172"/>
      <c r="E28" s="78">
        <v>46237</v>
      </c>
      <c r="F28" s="115" t="s">
        <v>319</v>
      </c>
      <c r="G28" s="76">
        <v>9</v>
      </c>
      <c r="H28" s="115" t="s">
        <v>320</v>
      </c>
      <c r="I28" s="76">
        <v>9</v>
      </c>
      <c r="J28" s="115" t="s">
        <v>321</v>
      </c>
      <c r="K28" s="76">
        <v>9</v>
      </c>
      <c r="L28" s="79"/>
      <c r="M28" s="76"/>
      <c r="N28" s="76">
        <f t="shared" si="1"/>
        <v>27</v>
      </c>
      <c r="O28" s="76">
        <f t="shared" si="0"/>
        <v>0.73000000000000043</v>
      </c>
      <c r="P28" s="82">
        <f t="shared" si="2"/>
        <v>46244</v>
      </c>
      <c r="Q28" s="80">
        <f t="shared" si="3"/>
        <v>46251</v>
      </c>
      <c r="R28" s="78">
        <f t="shared" si="4"/>
        <v>46265</v>
      </c>
      <c r="S28" s="82" t="s">
        <v>91</v>
      </c>
      <c r="T28" s="80"/>
      <c r="U28" s="78"/>
    </row>
    <row r="29" spans="1:21" x14ac:dyDescent="0.25">
      <c r="A29" s="74" t="s">
        <v>68</v>
      </c>
      <c r="B29" s="77"/>
      <c r="C29" s="171">
        <f>SUM(C5:D28)</f>
        <v>630.47999999999979</v>
      </c>
      <c r="D29" s="172"/>
      <c r="E29" s="174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</row>
  </sheetData>
  <autoFilter ref="A4:U29" xr:uid="{33167425-04E3-425B-80F0-03B11988072E}">
    <filterColumn colId="2" showButton="0"/>
  </autoFilter>
  <mergeCells count="46">
    <mergeCell ref="H1:H4"/>
    <mergeCell ref="A1:B3"/>
    <mergeCell ref="C1:D4"/>
    <mergeCell ref="E1:E4"/>
    <mergeCell ref="F1:F4"/>
    <mergeCell ref="G1:G4"/>
    <mergeCell ref="T1:T4"/>
    <mergeCell ref="I1:I4"/>
    <mergeCell ref="J1:J4"/>
    <mergeCell ref="K1:K4"/>
    <mergeCell ref="L1:L4"/>
    <mergeCell ref="M1:M4"/>
    <mergeCell ref="N1:N4"/>
    <mergeCell ref="C18:D18"/>
    <mergeCell ref="U1:U4"/>
    <mergeCell ref="A5:A28"/>
    <mergeCell ref="C5:D5"/>
    <mergeCell ref="C6:D6"/>
    <mergeCell ref="C7:D7"/>
    <mergeCell ref="C8:D8"/>
    <mergeCell ref="C9:D9"/>
    <mergeCell ref="C10:D10"/>
    <mergeCell ref="C11:D11"/>
    <mergeCell ref="C12:D12"/>
    <mergeCell ref="O1:O4"/>
    <mergeCell ref="P1:P4"/>
    <mergeCell ref="Q1:Q4"/>
    <mergeCell ref="R1:R4"/>
    <mergeCell ref="S1:S4"/>
    <mergeCell ref="C13:D13"/>
    <mergeCell ref="C14:D14"/>
    <mergeCell ref="C15:D15"/>
    <mergeCell ref="C16:D16"/>
    <mergeCell ref="C17:D17"/>
    <mergeCell ref="E29:U29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565CA-6D66-4578-AC4E-5279516D1443}">
  <dimension ref="A1:U29"/>
  <sheetViews>
    <sheetView zoomScale="70" zoomScaleNormal="70" workbookViewId="0">
      <selection activeCell="R13" sqref="R13"/>
    </sheetView>
  </sheetViews>
  <sheetFormatPr defaultRowHeight="15" x14ac:dyDescent="0.25"/>
  <cols>
    <col min="2" max="3" width="10.7109375" customWidth="1"/>
    <col min="4" max="4" width="11.28515625" customWidth="1"/>
    <col min="5" max="5" width="16.7109375" customWidth="1"/>
    <col min="6" max="15" width="16.85546875" customWidth="1"/>
    <col min="16" max="17" width="17.140625" customWidth="1"/>
    <col min="18" max="18" width="18.140625" customWidth="1"/>
    <col min="19" max="20" width="17.28515625" customWidth="1"/>
    <col min="21" max="21" width="18.7109375" customWidth="1"/>
  </cols>
  <sheetData>
    <row r="1" spans="1:21" ht="15" customHeight="1" x14ac:dyDescent="0.25">
      <c r="A1" s="128" t="s">
        <v>89</v>
      </c>
      <c r="B1" s="128"/>
      <c r="C1" s="174" t="s">
        <v>69</v>
      </c>
      <c r="D1" s="175"/>
      <c r="E1" s="173" t="s">
        <v>67</v>
      </c>
      <c r="F1" s="183" t="s">
        <v>70</v>
      </c>
      <c r="G1" s="187" t="s">
        <v>71</v>
      </c>
      <c r="H1" s="183" t="s">
        <v>70</v>
      </c>
      <c r="I1" s="187" t="s">
        <v>71</v>
      </c>
      <c r="J1" s="183" t="s">
        <v>70</v>
      </c>
      <c r="K1" s="187" t="s">
        <v>71</v>
      </c>
      <c r="L1" s="183" t="s">
        <v>70</v>
      </c>
      <c r="M1" s="187" t="s">
        <v>71</v>
      </c>
      <c r="N1" s="183" t="s">
        <v>68</v>
      </c>
      <c r="O1" s="183" t="s">
        <v>74</v>
      </c>
      <c r="P1" s="170" t="s">
        <v>72</v>
      </c>
      <c r="Q1" s="170" t="s">
        <v>78</v>
      </c>
      <c r="R1" s="170" t="s">
        <v>73</v>
      </c>
      <c r="S1" s="170" t="s">
        <v>76</v>
      </c>
      <c r="T1" s="170" t="s">
        <v>79</v>
      </c>
      <c r="U1" s="170" t="s">
        <v>77</v>
      </c>
    </row>
    <row r="2" spans="1:21" x14ac:dyDescent="0.25">
      <c r="A2" s="128"/>
      <c r="B2" s="128"/>
      <c r="C2" s="176"/>
      <c r="D2" s="177"/>
      <c r="E2" s="173"/>
      <c r="F2" s="184"/>
      <c r="G2" s="188"/>
      <c r="H2" s="184"/>
      <c r="I2" s="188"/>
      <c r="J2" s="184"/>
      <c r="K2" s="188"/>
      <c r="L2" s="184"/>
      <c r="M2" s="188"/>
      <c r="N2" s="184"/>
      <c r="O2" s="184"/>
      <c r="P2" s="170"/>
      <c r="Q2" s="170"/>
      <c r="R2" s="170"/>
      <c r="S2" s="170"/>
      <c r="T2" s="170"/>
      <c r="U2" s="170"/>
    </row>
    <row r="3" spans="1:21" ht="15" customHeight="1" x14ac:dyDescent="0.25">
      <c r="A3" s="128"/>
      <c r="B3" s="128"/>
      <c r="C3" s="176"/>
      <c r="D3" s="177"/>
      <c r="E3" s="173"/>
      <c r="F3" s="184"/>
      <c r="G3" s="188"/>
      <c r="H3" s="184"/>
      <c r="I3" s="188"/>
      <c r="J3" s="184"/>
      <c r="K3" s="188"/>
      <c r="L3" s="184"/>
      <c r="M3" s="188"/>
      <c r="N3" s="184"/>
      <c r="O3" s="184"/>
      <c r="P3" s="170"/>
      <c r="Q3" s="170"/>
      <c r="R3" s="170"/>
      <c r="S3" s="170"/>
      <c r="T3" s="170"/>
      <c r="U3" s="170"/>
    </row>
    <row r="4" spans="1:21" x14ac:dyDescent="0.25">
      <c r="A4" s="2" t="s">
        <v>0</v>
      </c>
      <c r="B4" s="75" t="s">
        <v>88</v>
      </c>
      <c r="C4" s="178"/>
      <c r="D4" s="179"/>
      <c r="E4" s="173"/>
      <c r="F4" s="185"/>
      <c r="G4" s="189"/>
      <c r="H4" s="185"/>
      <c r="I4" s="189"/>
      <c r="J4" s="185"/>
      <c r="K4" s="189"/>
      <c r="L4" s="185"/>
      <c r="M4" s="189"/>
      <c r="N4" s="185"/>
      <c r="O4" s="185"/>
      <c r="P4" s="170"/>
      <c r="Q4" s="170"/>
      <c r="R4" s="170"/>
      <c r="S4" s="170"/>
      <c r="T4" s="170"/>
      <c r="U4" s="170"/>
    </row>
    <row r="5" spans="1:21" x14ac:dyDescent="0.25">
      <c r="A5" s="180" t="s">
        <v>9</v>
      </c>
      <c r="B5" s="4">
        <v>1</v>
      </c>
      <c r="C5" s="171">
        <v>26.27</v>
      </c>
      <c r="D5" s="172"/>
      <c r="E5" s="78">
        <v>46240</v>
      </c>
      <c r="F5" s="114" t="s">
        <v>661</v>
      </c>
      <c r="G5" s="76">
        <v>8</v>
      </c>
      <c r="H5" s="114" t="s">
        <v>662</v>
      </c>
      <c r="I5" s="76">
        <v>9.5</v>
      </c>
      <c r="J5" s="114" t="s">
        <v>663</v>
      </c>
      <c r="K5" s="76">
        <v>9.5</v>
      </c>
      <c r="L5" s="76"/>
      <c r="M5" s="76"/>
      <c r="N5" s="76">
        <f>G5+I5+K5+M5</f>
        <v>27</v>
      </c>
      <c r="O5" s="76">
        <f t="shared" ref="O5:O28" si="0">N5-C5</f>
        <v>0.73000000000000043</v>
      </c>
      <c r="P5" s="82">
        <f>E5+7</f>
        <v>46247</v>
      </c>
      <c r="Q5" s="81">
        <f>E5+14</f>
        <v>46254</v>
      </c>
      <c r="R5" s="81">
        <f>E5+28</f>
        <v>46268</v>
      </c>
      <c r="S5" s="82" t="s">
        <v>91</v>
      </c>
      <c r="T5" s="81"/>
      <c r="U5" s="78"/>
    </row>
    <row r="6" spans="1:21" x14ac:dyDescent="0.25">
      <c r="A6" s="181"/>
      <c r="B6" s="4">
        <v>2</v>
      </c>
      <c r="C6" s="171">
        <v>26.27</v>
      </c>
      <c r="D6" s="172"/>
      <c r="E6" s="78">
        <v>46244</v>
      </c>
      <c r="F6" s="114" t="s">
        <v>686</v>
      </c>
      <c r="G6" s="76">
        <v>9</v>
      </c>
      <c r="H6" s="114" t="s">
        <v>687</v>
      </c>
      <c r="I6" s="76">
        <v>9</v>
      </c>
      <c r="J6" s="114" t="s">
        <v>688</v>
      </c>
      <c r="K6" s="76">
        <v>9</v>
      </c>
      <c r="L6" s="76"/>
      <c r="M6" s="76"/>
      <c r="N6" s="76">
        <f t="shared" ref="N6:N28" si="1">G6+I6+K6+M6</f>
        <v>27</v>
      </c>
      <c r="O6" s="76">
        <f t="shared" si="0"/>
        <v>0.73000000000000043</v>
      </c>
      <c r="P6" s="81">
        <f t="shared" ref="P6:P28" si="2">E6+7</f>
        <v>46251</v>
      </c>
      <c r="Q6" s="81">
        <f t="shared" ref="Q6:Q28" si="3">E6+14</f>
        <v>46258</v>
      </c>
      <c r="R6" s="81">
        <f t="shared" ref="R6:R28" si="4">E6+28</f>
        <v>46272</v>
      </c>
      <c r="S6" s="81"/>
      <c r="T6" s="81"/>
      <c r="U6" s="78"/>
    </row>
    <row r="7" spans="1:21" x14ac:dyDescent="0.25">
      <c r="A7" s="181"/>
      <c r="B7" s="4">
        <v>3</v>
      </c>
      <c r="C7" s="171">
        <v>26.27</v>
      </c>
      <c r="D7" s="172"/>
      <c r="E7" s="78">
        <v>46247</v>
      </c>
      <c r="F7" s="114" t="s">
        <v>824</v>
      </c>
      <c r="G7" s="76">
        <v>9</v>
      </c>
      <c r="H7" s="114" t="s">
        <v>825</v>
      </c>
      <c r="I7" s="76">
        <v>9</v>
      </c>
      <c r="J7" s="114" t="s">
        <v>826</v>
      </c>
      <c r="K7" s="76">
        <v>9</v>
      </c>
      <c r="L7" s="76"/>
      <c r="M7" s="76"/>
      <c r="N7" s="76">
        <f t="shared" si="1"/>
        <v>27</v>
      </c>
      <c r="O7" s="76">
        <f t="shared" si="0"/>
        <v>0.73000000000000043</v>
      </c>
      <c r="P7" s="81">
        <f t="shared" si="2"/>
        <v>46254</v>
      </c>
      <c r="Q7" s="81">
        <f t="shared" si="3"/>
        <v>46261</v>
      </c>
      <c r="R7" s="81">
        <f t="shared" si="4"/>
        <v>46275</v>
      </c>
      <c r="S7" s="81"/>
      <c r="T7" s="81"/>
      <c r="U7" s="78" t="s">
        <v>75</v>
      </c>
    </row>
    <row r="8" spans="1:21" x14ac:dyDescent="0.25">
      <c r="A8" s="181"/>
      <c r="B8" s="4">
        <v>4</v>
      </c>
      <c r="C8" s="171">
        <v>26.27</v>
      </c>
      <c r="D8" s="172"/>
      <c r="E8" s="78">
        <v>46245</v>
      </c>
      <c r="F8" s="114" t="s">
        <v>683</v>
      </c>
      <c r="G8" s="76">
        <v>9</v>
      </c>
      <c r="H8" s="114" t="s">
        <v>684</v>
      </c>
      <c r="I8" s="76">
        <v>9</v>
      </c>
      <c r="J8" s="114" t="s">
        <v>685</v>
      </c>
      <c r="K8" s="76">
        <v>9</v>
      </c>
      <c r="L8" s="76"/>
      <c r="M8" s="76"/>
      <c r="N8" s="76">
        <f t="shared" si="1"/>
        <v>27</v>
      </c>
      <c r="O8" s="76">
        <f t="shared" si="0"/>
        <v>0.73000000000000043</v>
      </c>
      <c r="P8" s="81">
        <f t="shared" si="2"/>
        <v>46252</v>
      </c>
      <c r="Q8" s="81">
        <f t="shared" si="3"/>
        <v>46259</v>
      </c>
      <c r="R8" s="81">
        <f t="shared" si="4"/>
        <v>46273</v>
      </c>
      <c r="S8" s="81"/>
      <c r="T8" s="81"/>
      <c r="U8" s="78"/>
    </row>
    <row r="9" spans="1:21" x14ac:dyDescent="0.25">
      <c r="A9" s="181"/>
      <c r="B9" s="4">
        <v>5</v>
      </c>
      <c r="C9" s="171">
        <v>26.27</v>
      </c>
      <c r="D9" s="172"/>
      <c r="E9" s="78">
        <v>46248</v>
      </c>
      <c r="F9" s="76"/>
      <c r="G9" s="76"/>
      <c r="H9" s="76"/>
      <c r="I9" s="76"/>
      <c r="J9" s="76"/>
      <c r="K9" s="76"/>
      <c r="L9" s="76"/>
      <c r="M9" s="76"/>
      <c r="N9" s="76">
        <f t="shared" si="1"/>
        <v>0</v>
      </c>
      <c r="O9" s="76">
        <f t="shared" si="0"/>
        <v>-26.27</v>
      </c>
      <c r="P9" s="81">
        <f t="shared" si="2"/>
        <v>46255</v>
      </c>
      <c r="Q9" s="81">
        <f t="shared" si="3"/>
        <v>46262</v>
      </c>
      <c r="R9" s="81">
        <f t="shared" si="4"/>
        <v>46276</v>
      </c>
      <c r="S9" s="81"/>
      <c r="T9" s="81"/>
      <c r="U9" s="78"/>
    </row>
    <row r="10" spans="1:21" x14ac:dyDescent="0.25">
      <c r="A10" s="181"/>
      <c r="B10" s="4">
        <v>6</v>
      </c>
      <c r="C10" s="171">
        <v>26.27</v>
      </c>
      <c r="D10" s="172"/>
      <c r="E10" s="78">
        <v>46247</v>
      </c>
      <c r="F10" s="114" t="s">
        <v>821</v>
      </c>
      <c r="G10" s="76">
        <v>9</v>
      </c>
      <c r="H10" s="114" t="s">
        <v>822</v>
      </c>
      <c r="I10" s="76">
        <v>9</v>
      </c>
      <c r="J10" s="114" t="s">
        <v>823</v>
      </c>
      <c r="K10" s="76">
        <v>9</v>
      </c>
      <c r="L10" s="76"/>
      <c r="M10" s="76"/>
      <c r="N10" s="76">
        <f t="shared" si="1"/>
        <v>27</v>
      </c>
      <c r="O10" s="76">
        <f t="shared" si="0"/>
        <v>0.73000000000000043</v>
      </c>
      <c r="P10" s="81">
        <f t="shared" si="2"/>
        <v>46254</v>
      </c>
      <c r="Q10" s="81">
        <f t="shared" si="3"/>
        <v>46261</v>
      </c>
      <c r="R10" s="81">
        <f t="shared" si="4"/>
        <v>46275</v>
      </c>
      <c r="S10" s="81"/>
      <c r="T10" s="81"/>
      <c r="U10" s="78"/>
    </row>
    <row r="11" spans="1:21" x14ac:dyDescent="0.25">
      <c r="A11" s="181"/>
      <c r="B11" s="4">
        <v>7</v>
      </c>
      <c r="C11" s="171">
        <v>26.27</v>
      </c>
      <c r="D11" s="172"/>
      <c r="E11" s="78">
        <v>46248</v>
      </c>
      <c r="F11" s="79"/>
      <c r="G11" s="76"/>
      <c r="H11" s="79"/>
      <c r="I11" s="76"/>
      <c r="J11" s="79"/>
      <c r="K11" s="76"/>
      <c r="L11" s="76"/>
      <c r="M11" s="76"/>
      <c r="N11" s="76">
        <f t="shared" si="1"/>
        <v>0</v>
      </c>
      <c r="O11" s="76">
        <f t="shared" si="0"/>
        <v>-26.27</v>
      </c>
      <c r="P11" s="81">
        <f t="shared" si="2"/>
        <v>46255</v>
      </c>
      <c r="Q11" s="81">
        <f t="shared" si="3"/>
        <v>46262</v>
      </c>
      <c r="R11" s="81">
        <f t="shared" si="4"/>
        <v>46276</v>
      </c>
      <c r="S11" s="81"/>
      <c r="T11" s="81"/>
      <c r="U11" s="78"/>
    </row>
    <row r="12" spans="1:21" x14ac:dyDescent="0.25">
      <c r="A12" s="181"/>
      <c r="B12" s="4">
        <v>8</v>
      </c>
      <c r="C12" s="171">
        <v>26.27</v>
      </c>
      <c r="D12" s="172"/>
      <c r="E12" s="78">
        <v>46246</v>
      </c>
      <c r="F12" s="114" t="s">
        <v>680</v>
      </c>
      <c r="G12" s="76">
        <v>9</v>
      </c>
      <c r="H12" s="114" t="s">
        <v>681</v>
      </c>
      <c r="I12" s="76">
        <v>9</v>
      </c>
      <c r="J12" s="114" t="s">
        <v>682</v>
      </c>
      <c r="K12" s="76">
        <v>9</v>
      </c>
      <c r="L12" s="76"/>
      <c r="M12" s="76"/>
      <c r="N12" s="76">
        <f t="shared" si="1"/>
        <v>27</v>
      </c>
      <c r="O12" s="76">
        <f t="shared" si="0"/>
        <v>0.73000000000000043</v>
      </c>
      <c r="P12" s="81">
        <f t="shared" si="2"/>
        <v>46253</v>
      </c>
      <c r="Q12" s="81">
        <f t="shared" si="3"/>
        <v>46260</v>
      </c>
      <c r="R12" s="81">
        <f t="shared" si="4"/>
        <v>46274</v>
      </c>
      <c r="S12" s="81"/>
      <c r="T12" s="81"/>
      <c r="U12" s="78"/>
    </row>
    <row r="13" spans="1:21" x14ac:dyDescent="0.25">
      <c r="A13" s="181"/>
      <c r="B13" s="4">
        <v>9</v>
      </c>
      <c r="C13" s="171">
        <v>26.27</v>
      </c>
      <c r="D13" s="172"/>
      <c r="E13" s="78">
        <v>46245</v>
      </c>
      <c r="F13" s="114" t="s">
        <v>677</v>
      </c>
      <c r="G13" s="76">
        <v>9</v>
      </c>
      <c r="H13" s="114" t="s">
        <v>678</v>
      </c>
      <c r="I13" s="76">
        <v>9</v>
      </c>
      <c r="J13" s="114" t="s">
        <v>679</v>
      </c>
      <c r="K13" s="76">
        <v>9</v>
      </c>
      <c r="L13" s="76"/>
      <c r="M13" s="76"/>
      <c r="N13" s="76">
        <f t="shared" si="1"/>
        <v>27</v>
      </c>
      <c r="O13" s="76">
        <f t="shared" si="0"/>
        <v>0.73000000000000043</v>
      </c>
      <c r="P13" s="81">
        <f t="shared" si="2"/>
        <v>46252</v>
      </c>
      <c r="Q13" s="81">
        <f t="shared" si="3"/>
        <v>46259</v>
      </c>
      <c r="R13" s="81">
        <f t="shared" si="4"/>
        <v>46273</v>
      </c>
      <c r="S13" s="81"/>
      <c r="T13" s="81"/>
      <c r="U13" s="78"/>
    </row>
    <row r="14" spans="1:21" x14ac:dyDescent="0.25">
      <c r="A14" s="181"/>
      <c r="B14" s="4">
        <v>10</v>
      </c>
      <c r="C14" s="171">
        <v>26.27</v>
      </c>
      <c r="D14" s="172"/>
      <c r="E14" s="78">
        <v>46247</v>
      </c>
      <c r="F14" s="114" t="s">
        <v>827</v>
      </c>
      <c r="G14" s="76">
        <v>9</v>
      </c>
      <c r="H14" s="114" t="s">
        <v>828</v>
      </c>
      <c r="I14" s="76">
        <v>9</v>
      </c>
      <c r="J14" s="114" t="s">
        <v>829</v>
      </c>
      <c r="K14" s="76">
        <v>9</v>
      </c>
      <c r="L14" s="76"/>
      <c r="M14" s="76"/>
      <c r="N14" s="76">
        <f t="shared" si="1"/>
        <v>27</v>
      </c>
      <c r="O14" s="76">
        <f t="shared" si="0"/>
        <v>0.73000000000000043</v>
      </c>
      <c r="P14" s="81">
        <f t="shared" si="2"/>
        <v>46254</v>
      </c>
      <c r="Q14" s="81">
        <f t="shared" si="3"/>
        <v>46261</v>
      </c>
      <c r="R14" s="81">
        <f t="shared" si="4"/>
        <v>46275</v>
      </c>
      <c r="S14" s="81"/>
      <c r="T14" s="81"/>
      <c r="U14" s="78"/>
    </row>
    <row r="15" spans="1:21" x14ac:dyDescent="0.25">
      <c r="A15" s="181"/>
      <c r="B15" s="4">
        <v>11</v>
      </c>
      <c r="C15" s="171">
        <v>26.27</v>
      </c>
      <c r="D15" s="172"/>
      <c r="E15" s="78">
        <v>46243</v>
      </c>
      <c r="F15" s="115" t="s">
        <v>646</v>
      </c>
      <c r="G15" s="76">
        <v>9</v>
      </c>
      <c r="H15" s="115" t="s">
        <v>647</v>
      </c>
      <c r="I15" s="76">
        <v>9</v>
      </c>
      <c r="J15" s="115" t="s">
        <v>648</v>
      </c>
      <c r="K15" s="76">
        <v>9</v>
      </c>
      <c r="L15" s="76"/>
      <c r="M15" s="76"/>
      <c r="N15" s="76">
        <f t="shared" si="1"/>
        <v>27</v>
      </c>
      <c r="O15" s="76">
        <f t="shared" si="0"/>
        <v>0.73000000000000043</v>
      </c>
      <c r="P15" s="81">
        <f t="shared" si="2"/>
        <v>46250</v>
      </c>
      <c r="Q15" s="81">
        <f t="shared" si="3"/>
        <v>46257</v>
      </c>
      <c r="R15" s="81">
        <f t="shared" si="4"/>
        <v>46271</v>
      </c>
      <c r="S15" s="81"/>
      <c r="T15" s="81"/>
      <c r="U15" s="78"/>
    </row>
    <row r="16" spans="1:21" x14ac:dyDescent="0.25">
      <c r="A16" s="181"/>
      <c r="B16" s="4">
        <v>12</v>
      </c>
      <c r="C16" s="171">
        <v>26.27</v>
      </c>
      <c r="D16" s="172"/>
      <c r="E16" s="78">
        <v>46242</v>
      </c>
      <c r="F16" s="115" t="s">
        <v>649</v>
      </c>
      <c r="G16" s="76">
        <v>9</v>
      </c>
      <c r="H16" s="114" t="s">
        <v>650</v>
      </c>
      <c r="I16" s="76">
        <v>9</v>
      </c>
      <c r="J16" s="114" t="s">
        <v>651</v>
      </c>
      <c r="K16" s="76">
        <v>9</v>
      </c>
      <c r="L16" s="76"/>
      <c r="M16" s="76"/>
      <c r="N16" s="76">
        <f t="shared" si="1"/>
        <v>27</v>
      </c>
      <c r="O16" s="76">
        <f t="shared" si="0"/>
        <v>0.73000000000000043</v>
      </c>
      <c r="P16" s="81">
        <f t="shared" si="2"/>
        <v>46249</v>
      </c>
      <c r="Q16" s="81">
        <f t="shared" si="3"/>
        <v>46256</v>
      </c>
      <c r="R16" s="81">
        <f t="shared" si="4"/>
        <v>46270</v>
      </c>
      <c r="S16" s="81"/>
      <c r="T16" s="81"/>
      <c r="U16" s="78"/>
    </row>
    <row r="17" spans="1:21" x14ac:dyDescent="0.25">
      <c r="A17" s="181"/>
      <c r="B17" s="4">
        <v>13</v>
      </c>
      <c r="C17" s="171">
        <v>26.27</v>
      </c>
      <c r="D17" s="172"/>
      <c r="E17" s="78">
        <v>46244</v>
      </c>
      <c r="F17" s="114" t="s">
        <v>674</v>
      </c>
      <c r="G17" s="76">
        <v>9</v>
      </c>
      <c r="H17" s="114" t="s">
        <v>675</v>
      </c>
      <c r="I17" s="76">
        <v>9</v>
      </c>
      <c r="J17" s="114" t="s">
        <v>676</v>
      </c>
      <c r="K17" s="76">
        <v>9</v>
      </c>
      <c r="L17" s="76"/>
      <c r="M17" s="76"/>
      <c r="N17" s="76">
        <f t="shared" si="1"/>
        <v>27</v>
      </c>
      <c r="O17" s="76">
        <f t="shared" si="0"/>
        <v>0.73000000000000043</v>
      </c>
      <c r="P17" s="81">
        <f t="shared" si="2"/>
        <v>46251</v>
      </c>
      <c r="Q17" s="81">
        <f t="shared" si="3"/>
        <v>46258</v>
      </c>
      <c r="R17" s="81">
        <f t="shared" si="4"/>
        <v>46272</v>
      </c>
      <c r="S17" s="78"/>
      <c r="T17" s="80"/>
      <c r="U17" s="78"/>
    </row>
    <row r="18" spans="1:21" x14ac:dyDescent="0.25">
      <c r="A18" s="181"/>
      <c r="B18" s="4">
        <v>14</v>
      </c>
      <c r="C18" s="171">
        <v>26.27</v>
      </c>
      <c r="D18" s="172"/>
      <c r="E18" s="78">
        <v>46241</v>
      </c>
      <c r="F18" s="115" t="s">
        <v>658</v>
      </c>
      <c r="G18" s="76">
        <v>9</v>
      </c>
      <c r="H18" s="115" t="s">
        <v>659</v>
      </c>
      <c r="I18" s="76">
        <v>9</v>
      </c>
      <c r="J18" s="115" t="s">
        <v>660</v>
      </c>
      <c r="K18" s="76">
        <v>9</v>
      </c>
      <c r="L18" s="79"/>
      <c r="M18" s="76"/>
      <c r="N18" s="76">
        <f t="shared" si="1"/>
        <v>27</v>
      </c>
      <c r="O18" s="76">
        <f t="shared" si="0"/>
        <v>0.73000000000000043</v>
      </c>
      <c r="P18" s="82">
        <f t="shared" si="2"/>
        <v>46248</v>
      </c>
      <c r="Q18" s="81">
        <f t="shared" si="3"/>
        <v>46255</v>
      </c>
      <c r="R18" s="81">
        <f t="shared" si="4"/>
        <v>46269</v>
      </c>
      <c r="S18" s="82" t="s">
        <v>91</v>
      </c>
      <c r="T18" s="80"/>
      <c r="U18" s="78"/>
    </row>
    <row r="19" spans="1:21" x14ac:dyDescent="0.25">
      <c r="A19" s="181"/>
      <c r="B19" s="4">
        <v>15</v>
      </c>
      <c r="C19" s="171">
        <v>26.27</v>
      </c>
      <c r="D19" s="172"/>
      <c r="E19" s="78">
        <v>46242</v>
      </c>
      <c r="F19" s="115" t="s">
        <v>652</v>
      </c>
      <c r="G19" s="76">
        <v>9</v>
      </c>
      <c r="H19" s="115" t="s">
        <v>653</v>
      </c>
      <c r="I19" s="76">
        <v>9</v>
      </c>
      <c r="J19" s="115" t="s">
        <v>654</v>
      </c>
      <c r="K19" s="76">
        <v>9</v>
      </c>
      <c r="L19" s="79"/>
      <c r="M19" s="76"/>
      <c r="N19" s="76">
        <f t="shared" si="1"/>
        <v>27</v>
      </c>
      <c r="O19" s="76">
        <f t="shared" si="0"/>
        <v>0.73000000000000043</v>
      </c>
      <c r="P19" s="78">
        <f t="shared" si="2"/>
        <v>46249</v>
      </c>
      <c r="Q19" s="80">
        <f t="shared" si="3"/>
        <v>46256</v>
      </c>
      <c r="R19" s="78">
        <f t="shared" si="4"/>
        <v>46270</v>
      </c>
      <c r="S19" s="78"/>
      <c r="T19" s="80"/>
      <c r="U19" s="78"/>
    </row>
    <row r="20" spans="1:21" x14ac:dyDescent="0.25">
      <c r="A20" s="181"/>
      <c r="B20" s="4">
        <v>16</v>
      </c>
      <c r="C20" s="171">
        <v>26.27</v>
      </c>
      <c r="D20" s="172"/>
      <c r="E20" s="78">
        <v>46239</v>
      </c>
      <c r="F20" s="115" t="s">
        <v>548</v>
      </c>
      <c r="G20" s="76">
        <v>9</v>
      </c>
      <c r="H20" s="115" t="s">
        <v>549</v>
      </c>
      <c r="I20" s="76">
        <v>9</v>
      </c>
      <c r="J20" s="115" t="s">
        <v>550</v>
      </c>
      <c r="K20" s="76">
        <v>9</v>
      </c>
      <c r="L20" s="79"/>
      <c r="M20" s="76"/>
      <c r="N20" s="76">
        <f t="shared" si="1"/>
        <v>27</v>
      </c>
      <c r="O20" s="76">
        <f t="shared" si="0"/>
        <v>0.73000000000000043</v>
      </c>
      <c r="P20" s="82">
        <f t="shared" si="2"/>
        <v>46246</v>
      </c>
      <c r="Q20" s="80">
        <f t="shared" si="3"/>
        <v>46253</v>
      </c>
      <c r="R20" s="78">
        <f t="shared" si="4"/>
        <v>46267</v>
      </c>
      <c r="S20" s="82" t="s">
        <v>91</v>
      </c>
      <c r="T20" s="80"/>
      <c r="U20" s="78"/>
    </row>
    <row r="21" spans="1:21" x14ac:dyDescent="0.25">
      <c r="A21" s="181"/>
      <c r="B21" s="4">
        <v>17</v>
      </c>
      <c r="C21" s="171">
        <v>26.27</v>
      </c>
      <c r="D21" s="172"/>
      <c r="E21" s="78">
        <v>46243</v>
      </c>
      <c r="F21" s="115" t="s">
        <v>640</v>
      </c>
      <c r="G21" s="76">
        <v>9</v>
      </c>
      <c r="H21" s="115" t="s">
        <v>641</v>
      </c>
      <c r="I21" s="76">
        <v>9</v>
      </c>
      <c r="J21" s="115" t="s">
        <v>642</v>
      </c>
      <c r="K21" s="76">
        <v>9</v>
      </c>
      <c r="L21" s="79"/>
      <c r="M21" s="76"/>
      <c r="N21" s="76">
        <f t="shared" si="1"/>
        <v>27</v>
      </c>
      <c r="O21" s="76">
        <f t="shared" si="0"/>
        <v>0.73000000000000043</v>
      </c>
      <c r="P21" s="78">
        <f t="shared" si="2"/>
        <v>46250</v>
      </c>
      <c r="Q21" s="80">
        <f t="shared" si="3"/>
        <v>46257</v>
      </c>
      <c r="R21" s="78">
        <f t="shared" si="4"/>
        <v>46271</v>
      </c>
      <c r="S21" s="78"/>
      <c r="T21" s="80"/>
      <c r="U21" s="78"/>
    </row>
    <row r="22" spans="1:21" x14ac:dyDescent="0.25">
      <c r="A22" s="181"/>
      <c r="B22" s="4">
        <v>18</v>
      </c>
      <c r="C22" s="171">
        <v>26.27</v>
      </c>
      <c r="D22" s="172"/>
      <c r="E22" s="78">
        <v>46239</v>
      </c>
      <c r="F22" s="115" t="s">
        <v>551</v>
      </c>
      <c r="G22" s="76">
        <v>9</v>
      </c>
      <c r="H22" s="115" t="s">
        <v>552</v>
      </c>
      <c r="I22" s="76">
        <v>9</v>
      </c>
      <c r="J22" s="115" t="s">
        <v>553</v>
      </c>
      <c r="K22" s="76">
        <v>9</v>
      </c>
      <c r="L22" s="79"/>
      <c r="M22" s="76"/>
      <c r="N22" s="76">
        <f t="shared" si="1"/>
        <v>27</v>
      </c>
      <c r="O22" s="76">
        <f t="shared" si="0"/>
        <v>0.73000000000000043</v>
      </c>
      <c r="P22" s="82">
        <f t="shared" si="2"/>
        <v>46246</v>
      </c>
      <c r="Q22" s="80">
        <f t="shared" si="3"/>
        <v>46253</v>
      </c>
      <c r="R22" s="78">
        <f t="shared" si="4"/>
        <v>46267</v>
      </c>
      <c r="S22" s="82" t="s">
        <v>91</v>
      </c>
      <c r="T22" s="80"/>
      <c r="U22" s="78"/>
    </row>
    <row r="23" spans="1:21" x14ac:dyDescent="0.25">
      <c r="A23" s="181"/>
      <c r="B23" s="4">
        <v>19</v>
      </c>
      <c r="C23" s="171">
        <v>26.27</v>
      </c>
      <c r="D23" s="172"/>
      <c r="E23" s="78">
        <v>46243</v>
      </c>
      <c r="F23" s="115" t="s">
        <v>643</v>
      </c>
      <c r="G23" s="76">
        <v>9</v>
      </c>
      <c r="H23" s="115" t="s">
        <v>644</v>
      </c>
      <c r="I23" s="76">
        <v>9</v>
      </c>
      <c r="J23" s="115" t="s">
        <v>645</v>
      </c>
      <c r="K23" s="76">
        <v>9</v>
      </c>
      <c r="L23" s="79"/>
      <c r="M23" s="76"/>
      <c r="N23" s="76">
        <f t="shared" si="1"/>
        <v>27</v>
      </c>
      <c r="O23" s="76">
        <f t="shared" si="0"/>
        <v>0.73000000000000043</v>
      </c>
      <c r="P23" s="78">
        <f t="shared" si="2"/>
        <v>46250</v>
      </c>
      <c r="Q23" s="80">
        <f t="shared" si="3"/>
        <v>46257</v>
      </c>
      <c r="R23" s="78">
        <f t="shared" si="4"/>
        <v>46271</v>
      </c>
      <c r="S23" s="78"/>
      <c r="T23" s="80"/>
      <c r="U23" s="78"/>
    </row>
    <row r="24" spans="1:21" x14ac:dyDescent="0.25">
      <c r="A24" s="181"/>
      <c r="B24" s="4">
        <v>20</v>
      </c>
      <c r="C24" s="171">
        <v>26.27</v>
      </c>
      <c r="D24" s="172"/>
      <c r="E24" s="78">
        <v>46236</v>
      </c>
      <c r="F24" s="115" t="s">
        <v>346</v>
      </c>
      <c r="G24" s="76">
        <v>9</v>
      </c>
      <c r="H24" s="115" t="s">
        <v>347</v>
      </c>
      <c r="I24" s="76">
        <v>9</v>
      </c>
      <c r="J24" s="115" t="s">
        <v>348</v>
      </c>
      <c r="K24" s="76">
        <v>9</v>
      </c>
      <c r="L24" s="79"/>
      <c r="M24" s="76"/>
      <c r="N24" s="76">
        <f t="shared" si="1"/>
        <v>27</v>
      </c>
      <c r="O24" s="76">
        <f t="shared" si="0"/>
        <v>0.73000000000000043</v>
      </c>
      <c r="P24" s="82">
        <f t="shared" si="2"/>
        <v>46243</v>
      </c>
      <c r="Q24" s="80">
        <f t="shared" si="3"/>
        <v>46250</v>
      </c>
      <c r="R24" s="78">
        <f t="shared" si="4"/>
        <v>46264</v>
      </c>
      <c r="S24" s="82" t="s">
        <v>91</v>
      </c>
      <c r="T24" s="80"/>
      <c r="U24" s="78"/>
    </row>
    <row r="25" spans="1:21" x14ac:dyDescent="0.25">
      <c r="A25" s="181"/>
      <c r="B25" s="4">
        <v>21</v>
      </c>
      <c r="C25" s="171">
        <v>26.27</v>
      </c>
      <c r="D25" s="172"/>
      <c r="E25" s="78">
        <v>46241</v>
      </c>
      <c r="F25" s="115" t="s">
        <v>655</v>
      </c>
      <c r="G25" s="76">
        <v>9</v>
      </c>
      <c r="H25" s="115" t="s">
        <v>656</v>
      </c>
      <c r="I25" s="76">
        <v>9</v>
      </c>
      <c r="J25" s="115" t="s">
        <v>657</v>
      </c>
      <c r="K25" s="76">
        <v>9</v>
      </c>
      <c r="L25" s="79"/>
      <c r="M25" s="76"/>
      <c r="N25" s="76">
        <f t="shared" si="1"/>
        <v>27</v>
      </c>
      <c r="O25" s="76">
        <f t="shared" si="0"/>
        <v>0.73000000000000043</v>
      </c>
      <c r="P25" s="82">
        <f t="shared" si="2"/>
        <v>46248</v>
      </c>
      <c r="Q25" s="80">
        <f t="shared" si="3"/>
        <v>46255</v>
      </c>
      <c r="R25" s="78">
        <f t="shared" si="4"/>
        <v>46269</v>
      </c>
      <c r="S25" s="82" t="s">
        <v>91</v>
      </c>
      <c r="T25" s="80"/>
      <c r="U25" s="78"/>
    </row>
    <row r="26" spans="1:21" x14ac:dyDescent="0.25">
      <c r="A26" s="181"/>
      <c r="B26" s="4">
        <v>22</v>
      </c>
      <c r="C26" s="171">
        <v>26.27</v>
      </c>
      <c r="D26" s="172"/>
      <c r="E26" s="78">
        <v>46246</v>
      </c>
      <c r="F26" s="115" t="s">
        <v>671</v>
      </c>
      <c r="G26" s="76">
        <v>9</v>
      </c>
      <c r="H26" s="115" t="s">
        <v>672</v>
      </c>
      <c r="I26" s="76">
        <v>9</v>
      </c>
      <c r="J26" s="115" t="s">
        <v>673</v>
      </c>
      <c r="K26" s="76">
        <v>9</v>
      </c>
      <c r="L26" s="79"/>
      <c r="M26" s="76"/>
      <c r="N26" s="76">
        <f t="shared" si="1"/>
        <v>27</v>
      </c>
      <c r="O26" s="76">
        <f t="shared" si="0"/>
        <v>0.73000000000000043</v>
      </c>
      <c r="P26" s="78">
        <f t="shared" si="2"/>
        <v>46253</v>
      </c>
      <c r="Q26" s="80">
        <f t="shared" si="3"/>
        <v>46260</v>
      </c>
      <c r="R26" s="78">
        <f t="shared" si="4"/>
        <v>46274</v>
      </c>
      <c r="S26" s="78"/>
      <c r="T26" s="80"/>
      <c r="U26" s="78"/>
    </row>
    <row r="27" spans="1:21" x14ac:dyDescent="0.25">
      <c r="A27" s="181"/>
      <c r="B27" s="4">
        <v>23</v>
      </c>
      <c r="C27" s="171">
        <v>26.27</v>
      </c>
      <c r="D27" s="172"/>
      <c r="E27" s="78">
        <v>46244</v>
      </c>
      <c r="F27" s="115" t="s">
        <v>668</v>
      </c>
      <c r="G27" s="76">
        <v>9</v>
      </c>
      <c r="H27" s="115" t="s">
        <v>669</v>
      </c>
      <c r="I27" s="76">
        <v>9</v>
      </c>
      <c r="J27" s="115" t="s">
        <v>670</v>
      </c>
      <c r="K27" s="76">
        <v>9</v>
      </c>
      <c r="L27" s="79"/>
      <c r="M27" s="76"/>
      <c r="N27" s="76">
        <f t="shared" si="1"/>
        <v>27</v>
      </c>
      <c r="O27" s="76">
        <f t="shared" si="0"/>
        <v>0.73000000000000043</v>
      </c>
      <c r="P27" s="78">
        <f t="shared" si="2"/>
        <v>46251</v>
      </c>
      <c r="Q27" s="80">
        <f t="shared" si="3"/>
        <v>46258</v>
      </c>
      <c r="R27" s="78">
        <f t="shared" si="4"/>
        <v>46272</v>
      </c>
      <c r="S27" s="78"/>
      <c r="T27" s="80"/>
      <c r="U27" s="78"/>
    </row>
    <row r="28" spans="1:21" x14ac:dyDescent="0.25">
      <c r="A28" s="182"/>
      <c r="B28" s="4">
        <v>24</v>
      </c>
      <c r="C28" s="171">
        <v>26.27</v>
      </c>
      <c r="D28" s="172"/>
      <c r="E28" s="78">
        <v>46245</v>
      </c>
      <c r="F28" s="115" t="s">
        <v>665</v>
      </c>
      <c r="G28" s="76">
        <v>9</v>
      </c>
      <c r="H28" s="115" t="s">
        <v>666</v>
      </c>
      <c r="I28" s="76">
        <v>9</v>
      </c>
      <c r="J28" s="115" t="s">
        <v>667</v>
      </c>
      <c r="K28" s="76">
        <v>9</v>
      </c>
      <c r="L28" s="79"/>
      <c r="M28" s="76"/>
      <c r="N28" s="76">
        <f t="shared" si="1"/>
        <v>27</v>
      </c>
      <c r="O28" s="76">
        <f t="shared" si="0"/>
        <v>0.73000000000000043</v>
      </c>
      <c r="P28" s="78">
        <f t="shared" si="2"/>
        <v>46252</v>
      </c>
      <c r="Q28" s="80">
        <f t="shared" si="3"/>
        <v>46259</v>
      </c>
      <c r="R28" s="78">
        <f t="shared" si="4"/>
        <v>46273</v>
      </c>
      <c r="S28" s="78"/>
      <c r="T28" s="80"/>
      <c r="U28" s="78"/>
    </row>
    <row r="29" spans="1:21" x14ac:dyDescent="0.25">
      <c r="A29" s="74" t="s">
        <v>68</v>
      </c>
      <c r="B29" s="77"/>
      <c r="C29" s="171">
        <f>SUM(C5:D28)</f>
        <v>630.47999999999979</v>
      </c>
      <c r="D29" s="172"/>
      <c r="E29" s="174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</row>
  </sheetData>
  <autoFilter ref="A1:U4" xr:uid="{A56565CA-6D66-4578-AC4E-5279516D1443}">
    <filterColumn colId="0" showButton="0"/>
    <filterColumn colId="2" showButton="0"/>
  </autoFilter>
  <mergeCells count="46">
    <mergeCell ref="H1:H4"/>
    <mergeCell ref="A1:B3"/>
    <mergeCell ref="C1:D4"/>
    <mergeCell ref="E1:E4"/>
    <mergeCell ref="F1:F4"/>
    <mergeCell ref="G1:G4"/>
    <mergeCell ref="T1:T4"/>
    <mergeCell ref="I1:I4"/>
    <mergeCell ref="J1:J4"/>
    <mergeCell ref="K1:K4"/>
    <mergeCell ref="L1:L4"/>
    <mergeCell ref="M1:M4"/>
    <mergeCell ref="N1:N4"/>
    <mergeCell ref="C18:D18"/>
    <mergeCell ref="U1:U4"/>
    <mergeCell ref="A5:A28"/>
    <mergeCell ref="C5:D5"/>
    <mergeCell ref="C6:D6"/>
    <mergeCell ref="C7:D7"/>
    <mergeCell ref="C8:D8"/>
    <mergeCell ref="C9:D9"/>
    <mergeCell ref="C10:D10"/>
    <mergeCell ref="C11:D11"/>
    <mergeCell ref="C12:D12"/>
    <mergeCell ref="O1:O4"/>
    <mergeCell ref="P1:P4"/>
    <mergeCell ref="Q1:Q4"/>
    <mergeCell ref="R1:R4"/>
    <mergeCell ref="S1:S4"/>
    <mergeCell ref="C13:D13"/>
    <mergeCell ref="C14:D14"/>
    <mergeCell ref="C15:D15"/>
    <mergeCell ref="C16:D16"/>
    <mergeCell ref="C17:D17"/>
    <mergeCell ref="E29:U29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76583-286A-41BE-8099-ED2251D9D7CA}">
  <dimension ref="A1:U29"/>
  <sheetViews>
    <sheetView topLeftCell="C1" zoomScale="55" zoomScaleNormal="55" workbookViewId="0">
      <selection activeCell="J38" sqref="J38"/>
    </sheetView>
  </sheetViews>
  <sheetFormatPr defaultRowHeight="15" x14ac:dyDescent="0.25"/>
  <cols>
    <col min="2" max="3" width="10.7109375" customWidth="1"/>
    <col min="4" max="4" width="11.28515625" customWidth="1"/>
    <col min="5" max="5" width="16.7109375" customWidth="1"/>
    <col min="6" max="15" width="16.85546875" customWidth="1"/>
    <col min="16" max="17" width="17.140625" customWidth="1"/>
    <col min="18" max="18" width="18.140625" customWidth="1"/>
    <col min="19" max="20" width="17.28515625" customWidth="1"/>
    <col min="21" max="21" width="18.7109375" customWidth="1"/>
  </cols>
  <sheetData>
    <row r="1" spans="1:21" ht="15" customHeight="1" x14ac:dyDescent="0.25">
      <c r="A1" s="128" t="s">
        <v>89</v>
      </c>
      <c r="B1" s="128"/>
      <c r="C1" s="174" t="s">
        <v>69</v>
      </c>
      <c r="D1" s="175"/>
      <c r="E1" s="173" t="s">
        <v>67</v>
      </c>
      <c r="F1" s="183" t="s">
        <v>70</v>
      </c>
      <c r="G1" s="187" t="s">
        <v>71</v>
      </c>
      <c r="H1" s="183" t="s">
        <v>70</v>
      </c>
      <c r="I1" s="187" t="s">
        <v>71</v>
      </c>
      <c r="J1" s="183" t="s">
        <v>70</v>
      </c>
      <c r="K1" s="187" t="s">
        <v>71</v>
      </c>
      <c r="L1" s="183" t="s">
        <v>70</v>
      </c>
      <c r="M1" s="187" t="s">
        <v>71</v>
      </c>
      <c r="N1" s="183" t="s">
        <v>68</v>
      </c>
      <c r="O1" s="183" t="s">
        <v>74</v>
      </c>
      <c r="P1" s="170" t="s">
        <v>72</v>
      </c>
      <c r="Q1" s="170" t="s">
        <v>78</v>
      </c>
      <c r="R1" s="170" t="s">
        <v>73</v>
      </c>
      <c r="S1" s="170" t="s">
        <v>76</v>
      </c>
      <c r="T1" s="170" t="s">
        <v>79</v>
      </c>
      <c r="U1" s="170" t="s">
        <v>77</v>
      </c>
    </row>
    <row r="2" spans="1:21" x14ac:dyDescent="0.25">
      <c r="A2" s="128"/>
      <c r="B2" s="128"/>
      <c r="C2" s="176"/>
      <c r="D2" s="177"/>
      <c r="E2" s="173"/>
      <c r="F2" s="184"/>
      <c r="G2" s="188"/>
      <c r="H2" s="184"/>
      <c r="I2" s="188"/>
      <c r="J2" s="184"/>
      <c r="K2" s="188"/>
      <c r="L2" s="184"/>
      <c r="M2" s="188"/>
      <c r="N2" s="184"/>
      <c r="O2" s="184"/>
      <c r="P2" s="170"/>
      <c r="Q2" s="170"/>
      <c r="R2" s="170"/>
      <c r="S2" s="170"/>
      <c r="T2" s="170"/>
      <c r="U2" s="170"/>
    </row>
    <row r="3" spans="1:21" ht="15" customHeight="1" x14ac:dyDescent="0.25">
      <c r="A3" s="128"/>
      <c r="B3" s="128"/>
      <c r="C3" s="176"/>
      <c r="D3" s="177"/>
      <c r="E3" s="173"/>
      <c r="F3" s="184"/>
      <c r="G3" s="188"/>
      <c r="H3" s="184"/>
      <c r="I3" s="188"/>
      <c r="J3" s="184"/>
      <c r="K3" s="188"/>
      <c r="L3" s="184"/>
      <c r="M3" s="188"/>
      <c r="N3" s="184"/>
      <c r="O3" s="184"/>
      <c r="P3" s="170"/>
      <c r="Q3" s="170"/>
      <c r="R3" s="170"/>
      <c r="S3" s="170"/>
      <c r="T3" s="170"/>
      <c r="U3" s="170"/>
    </row>
    <row r="4" spans="1:21" x14ac:dyDescent="0.25">
      <c r="A4" s="2" t="s">
        <v>0</v>
      </c>
      <c r="B4" s="75" t="s">
        <v>88</v>
      </c>
      <c r="C4" s="178"/>
      <c r="D4" s="179"/>
      <c r="E4" s="173"/>
      <c r="F4" s="185"/>
      <c r="G4" s="189"/>
      <c r="H4" s="185"/>
      <c r="I4" s="189"/>
      <c r="J4" s="185"/>
      <c r="K4" s="189"/>
      <c r="L4" s="185"/>
      <c r="M4" s="189"/>
      <c r="N4" s="185"/>
      <c r="O4" s="185"/>
      <c r="P4" s="170"/>
      <c r="Q4" s="170"/>
      <c r="R4" s="170"/>
      <c r="S4" s="170"/>
      <c r="T4" s="170"/>
      <c r="U4" s="170"/>
    </row>
    <row r="5" spans="1:21" x14ac:dyDescent="0.25">
      <c r="A5" s="180" t="s">
        <v>10</v>
      </c>
      <c r="B5" s="4">
        <v>1</v>
      </c>
      <c r="C5" s="171">
        <v>26.27</v>
      </c>
      <c r="D5" s="172"/>
      <c r="E5" s="78"/>
      <c r="F5" s="76"/>
      <c r="G5" s="76"/>
      <c r="H5" s="76"/>
      <c r="I5" s="76"/>
      <c r="J5" s="76"/>
      <c r="K5" s="76"/>
      <c r="L5" s="76"/>
      <c r="M5" s="76"/>
      <c r="N5" s="76">
        <f>G5+I5+K5+M5</f>
        <v>0</v>
      </c>
      <c r="O5" s="76">
        <f t="shared" ref="O5:O28" si="0">N5-C5</f>
        <v>-26.27</v>
      </c>
      <c r="P5" s="81">
        <f>E5+7</f>
        <v>7</v>
      </c>
      <c r="Q5" s="81">
        <f>E5+14</f>
        <v>14</v>
      </c>
      <c r="R5" s="81">
        <f>E5+28</f>
        <v>28</v>
      </c>
      <c r="S5" s="81"/>
      <c r="T5" s="81"/>
      <c r="U5" s="78"/>
    </row>
    <row r="6" spans="1:21" x14ac:dyDescent="0.25">
      <c r="A6" s="181"/>
      <c r="B6" s="4">
        <v>2</v>
      </c>
      <c r="C6" s="171">
        <v>26.27</v>
      </c>
      <c r="D6" s="172"/>
      <c r="E6" s="78"/>
      <c r="F6" s="76"/>
      <c r="G6" s="76"/>
      <c r="H6" s="76"/>
      <c r="I6" s="76"/>
      <c r="J6" s="76"/>
      <c r="K6" s="76"/>
      <c r="L6" s="76"/>
      <c r="M6" s="76"/>
      <c r="N6" s="76">
        <f t="shared" ref="N6:N28" si="1">G6+I6+K6+M6</f>
        <v>0</v>
      </c>
      <c r="O6" s="76">
        <f t="shared" si="0"/>
        <v>-26.27</v>
      </c>
      <c r="P6" s="81">
        <f t="shared" ref="P6:P28" si="2">E6+7</f>
        <v>7</v>
      </c>
      <c r="Q6" s="81">
        <f t="shared" ref="Q6:Q28" si="3">E6+14</f>
        <v>14</v>
      </c>
      <c r="R6" s="81">
        <f t="shared" ref="R6:R28" si="4">E6+28</f>
        <v>28</v>
      </c>
      <c r="S6" s="81"/>
      <c r="T6" s="81"/>
      <c r="U6" s="78"/>
    </row>
    <row r="7" spans="1:21" x14ac:dyDescent="0.25">
      <c r="A7" s="181"/>
      <c r="B7" s="4">
        <v>3</v>
      </c>
      <c r="C7" s="171">
        <v>26.27</v>
      </c>
      <c r="D7" s="172"/>
      <c r="E7" s="78"/>
      <c r="F7" s="76"/>
      <c r="G7" s="76"/>
      <c r="H7" s="76"/>
      <c r="I7" s="76"/>
      <c r="J7" s="76"/>
      <c r="K7" s="76"/>
      <c r="L7" s="76"/>
      <c r="M7" s="76"/>
      <c r="N7" s="76">
        <f t="shared" si="1"/>
        <v>0</v>
      </c>
      <c r="O7" s="76">
        <f t="shared" si="0"/>
        <v>-26.27</v>
      </c>
      <c r="P7" s="81">
        <f t="shared" si="2"/>
        <v>7</v>
      </c>
      <c r="Q7" s="81">
        <f t="shared" si="3"/>
        <v>14</v>
      </c>
      <c r="R7" s="81">
        <f t="shared" si="4"/>
        <v>28</v>
      </c>
      <c r="S7" s="81"/>
      <c r="T7" s="81"/>
      <c r="U7" s="78" t="s">
        <v>75</v>
      </c>
    </row>
    <row r="8" spans="1:21" x14ac:dyDescent="0.25">
      <c r="A8" s="181"/>
      <c r="B8" s="4">
        <v>4</v>
      </c>
      <c r="C8" s="171">
        <v>26.27</v>
      </c>
      <c r="D8" s="172"/>
      <c r="E8" s="78"/>
      <c r="F8" s="76"/>
      <c r="G8" s="76"/>
      <c r="H8" s="76"/>
      <c r="I8" s="76"/>
      <c r="J8" s="76"/>
      <c r="K8" s="76"/>
      <c r="L8" s="76"/>
      <c r="M8" s="76"/>
      <c r="N8" s="76">
        <f t="shared" si="1"/>
        <v>0</v>
      </c>
      <c r="O8" s="76">
        <f t="shared" si="0"/>
        <v>-26.27</v>
      </c>
      <c r="P8" s="81">
        <f t="shared" si="2"/>
        <v>7</v>
      </c>
      <c r="Q8" s="81">
        <f t="shared" si="3"/>
        <v>14</v>
      </c>
      <c r="R8" s="81">
        <f t="shared" si="4"/>
        <v>28</v>
      </c>
      <c r="S8" s="81"/>
      <c r="T8" s="81"/>
      <c r="U8" s="78"/>
    </row>
    <row r="9" spans="1:21" x14ac:dyDescent="0.25">
      <c r="A9" s="181"/>
      <c r="B9" s="4">
        <v>5</v>
      </c>
      <c r="C9" s="171">
        <v>26.27</v>
      </c>
      <c r="D9" s="172"/>
      <c r="E9" s="78"/>
      <c r="F9" s="76"/>
      <c r="G9" s="76"/>
      <c r="H9" s="76"/>
      <c r="I9" s="76"/>
      <c r="J9" s="76"/>
      <c r="K9" s="76"/>
      <c r="L9" s="76"/>
      <c r="M9" s="76"/>
      <c r="N9" s="76">
        <f t="shared" si="1"/>
        <v>0</v>
      </c>
      <c r="O9" s="76">
        <f t="shared" si="0"/>
        <v>-26.27</v>
      </c>
      <c r="P9" s="81">
        <f t="shared" si="2"/>
        <v>7</v>
      </c>
      <c r="Q9" s="81">
        <f t="shared" si="3"/>
        <v>14</v>
      </c>
      <c r="R9" s="81">
        <f t="shared" si="4"/>
        <v>28</v>
      </c>
      <c r="S9" s="81"/>
      <c r="T9" s="81"/>
      <c r="U9" s="78"/>
    </row>
    <row r="10" spans="1:21" x14ac:dyDescent="0.25">
      <c r="A10" s="181"/>
      <c r="B10" s="4">
        <v>6</v>
      </c>
      <c r="C10" s="171">
        <v>26.27</v>
      </c>
      <c r="D10" s="172"/>
      <c r="E10" s="78"/>
      <c r="F10" s="76"/>
      <c r="G10" s="76"/>
      <c r="H10" s="76"/>
      <c r="I10" s="76"/>
      <c r="J10" s="76"/>
      <c r="K10" s="76"/>
      <c r="L10" s="76"/>
      <c r="M10" s="76"/>
      <c r="N10" s="76">
        <f t="shared" si="1"/>
        <v>0</v>
      </c>
      <c r="O10" s="76">
        <f t="shared" si="0"/>
        <v>-26.27</v>
      </c>
      <c r="P10" s="81">
        <f t="shared" si="2"/>
        <v>7</v>
      </c>
      <c r="Q10" s="81">
        <f t="shared" si="3"/>
        <v>14</v>
      </c>
      <c r="R10" s="81">
        <f t="shared" si="4"/>
        <v>28</v>
      </c>
      <c r="S10" s="81"/>
      <c r="T10" s="81"/>
      <c r="U10" s="78"/>
    </row>
    <row r="11" spans="1:21" x14ac:dyDescent="0.25">
      <c r="A11" s="181"/>
      <c r="B11" s="4">
        <v>7</v>
      </c>
      <c r="C11" s="171">
        <v>26.27</v>
      </c>
      <c r="D11" s="172"/>
      <c r="E11" s="78"/>
      <c r="F11" s="79"/>
      <c r="G11" s="76"/>
      <c r="H11" s="79"/>
      <c r="I11" s="76"/>
      <c r="J11" s="79"/>
      <c r="K11" s="76"/>
      <c r="L11" s="76"/>
      <c r="M11" s="76"/>
      <c r="N11" s="76">
        <f t="shared" si="1"/>
        <v>0</v>
      </c>
      <c r="O11" s="76">
        <f t="shared" si="0"/>
        <v>-26.27</v>
      </c>
      <c r="P11" s="81">
        <f t="shared" si="2"/>
        <v>7</v>
      </c>
      <c r="Q11" s="81">
        <f t="shared" si="3"/>
        <v>14</v>
      </c>
      <c r="R11" s="81">
        <f t="shared" si="4"/>
        <v>28</v>
      </c>
      <c r="S11" s="81"/>
      <c r="T11" s="81"/>
      <c r="U11" s="78"/>
    </row>
    <row r="12" spans="1:21" x14ac:dyDescent="0.25">
      <c r="A12" s="181"/>
      <c r="B12" s="4">
        <v>8</v>
      </c>
      <c r="C12" s="171">
        <v>26.27</v>
      </c>
      <c r="D12" s="172"/>
      <c r="E12" s="76"/>
      <c r="F12" s="76"/>
      <c r="G12" s="76"/>
      <c r="H12" s="76"/>
      <c r="I12" s="76"/>
      <c r="J12" s="76"/>
      <c r="K12" s="76"/>
      <c r="L12" s="76"/>
      <c r="M12" s="76"/>
      <c r="N12" s="76">
        <f t="shared" si="1"/>
        <v>0</v>
      </c>
      <c r="O12" s="76">
        <f t="shared" si="0"/>
        <v>-26.27</v>
      </c>
      <c r="P12" s="81">
        <f t="shared" si="2"/>
        <v>7</v>
      </c>
      <c r="Q12" s="81">
        <f t="shared" si="3"/>
        <v>14</v>
      </c>
      <c r="R12" s="81">
        <f t="shared" si="4"/>
        <v>28</v>
      </c>
      <c r="S12" s="81"/>
      <c r="T12" s="81"/>
      <c r="U12" s="78"/>
    </row>
    <row r="13" spans="1:21" x14ac:dyDescent="0.25">
      <c r="A13" s="181"/>
      <c r="B13" s="4">
        <v>9</v>
      </c>
      <c r="C13" s="171">
        <v>26.27</v>
      </c>
      <c r="D13" s="172"/>
      <c r="E13" s="78"/>
      <c r="F13" s="76"/>
      <c r="G13" s="76"/>
      <c r="H13" s="76"/>
      <c r="I13" s="76"/>
      <c r="J13" s="76"/>
      <c r="K13" s="76"/>
      <c r="L13" s="76"/>
      <c r="M13" s="76"/>
      <c r="N13" s="76">
        <f t="shared" si="1"/>
        <v>0</v>
      </c>
      <c r="O13" s="76">
        <f t="shared" si="0"/>
        <v>-26.27</v>
      </c>
      <c r="P13" s="81">
        <f t="shared" si="2"/>
        <v>7</v>
      </c>
      <c r="Q13" s="81">
        <f t="shared" si="3"/>
        <v>14</v>
      </c>
      <c r="R13" s="81">
        <f t="shared" si="4"/>
        <v>28</v>
      </c>
      <c r="S13" s="81"/>
      <c r="T13" s="81"/>
      <c r="U13" s="78"/>
    </row>
    <row r="14" spans="1:21" x14ac:dyDescent="0.25">
      <c r="A14" s="181"/>
      <c r="B14" s="4">
        <v>10</v>
      </c>
      <c r="C14" s="171">
        <v>26.27</v>
      </c>
      <c r="D14" s="172"/>
      <c r="E14" s="78"/>
      <c r="F14" s="76"/>
      <c r="G14" s="76"/>
      <c r="H14" s="76"/>
      <c r="I14" s="76"/>
      <c r="J14" s="76"/>
      <c r="K14" s="76"/>
      <c r="L14" s="76"/>
      <c r="M14" s="76"/>
      <c r="N14" s="76">
        <f t="shared" si="1"/>
        <v>0</v>
      </c>
      <c r="O14" s="76">
        <f t="shared" si="0"/>
        <v>-26.27</v>
      </c>
      <c r="P14" s="81">
        <f t="shared" si="2"/>
        <v>7</v>
      </c>
      <c r="Q14" s="81">
        <f t="shared" si="3"/>
        <v>14</v>
      </c>
      <c r="R14" s="81">
        <f t="shared" si="4"/>
        <v>28</v>
      </c>
      <c r="S14" s="81"/>
      <c r="T14" s="81"/>
      <c r="U14" s="78"/>
    </row>
    <row r="15" spans="1:21" x14ac:dyDescent="0.25">
      <c r="A15" s="181"/>
      <c r="B15" s="4">
        <v>11</v>
      </c>
      <c r="C15" s="171">
        <v>26.27</v>
      </c>
      <c r="D15" s="172"/>
      <c r="E15" s="78"/>
      <c r="F15" s="79"/>
      <c r="G15" s="76"/>
      <c r="H15" s="79"/>
      <c r="I15" s="76"/>
      <c r="J15" s="79"/>
      <c r="K15" s="76"/>
      <c r="L15" s="76"/>
      <c r="M15" s="76"/>
      <c r="N15" s="76">
        <f t="shared" si="1"/>
        <v>0</v>
      </c>
      <c r="O15" s="76">
        <f t="shared" si="0"/>
        <v>-26.27</v>
      </c>
      <c r="P15" s="81">
        <f t="shared" si="2"/>
        <v>7</v>
      </c>
      <c r="Q15" s="81">
        <f t="shared" si="3"/>
        <v>14</v>
      </c>
      <c r="R15" s="81">
        <f t="shared" si="4"/>
        <v>28</v>
      </c>
      <c r="S15" s="81"/>
      <c r="T15" s="81"/>
      <c r="U15" s="78"/>
    </row>
    <row r="16" spans="1:21" x14ac:dyDescent="0.25">
      <c r="A16" s="181"/>
      <c r="B16" s="4">
        <v>12</v>
      </c>
      <c r="C16" s="171">
        <v>26.27</v>
      </c>
      <c r="D16" s="172"/>
      <c r="E16" s="78"/>
      <c r="F16" s="79"/>
      <c r="G16" s="76"/>
      <c r="H16" s="76"/>
      <c r="I16" s="76"/>
      <c r="J16" s="76"/>
      <c r="K16" s="76"/>
      <c r="L16" s="76"/>
      <c r="M16" s="76"/>
      <c r="N16" s="76">
        <f t="shared" si="1"/>
        <v>0</v>
      </c>
      <c r="O16" s="76">
        <f t="shared" si="0"/>
        <v>-26.27</v>
      </c>
      <c r="P16" s="81">
        <f t="shared" si="2"/>
        <v>7</v>
      </c>
      <c r="Q16" s="81">
        <f t="shared" si="3"/>
        <v>14</v>
      </c>
      <c r="R16" s="81">
        <f t="shared" si="4"/>
        <v>28</v>
      </c>
      <c r="S16" s="81"/>
      <c r="T16" s="81"/>
      <c r="U16" s="78"/>
    </row>
    <row r="17" spans="1:21" x14ac:dyDescent="0.25">
      <c r="A17" s="181"/>
      <c r="B17" s="4">
        <v>13</v>
      </c>
      <c r="C17" s="171">
        <v>26.27</v>
      </c>
      <c r="D17" s="172"/>
      <c r="E17" s="78"/>
      <c r="F17" s="76"/>
      <c r="G17" s="76"/>
      <c r="H17" s="76"/>
      <c r="I17" s="76"/>
      <c r="J17" s="76"/>
      <c r="K17" s="76"/>
      <c r="L17" s="76"/>
      <c r="M17" s="76"/>
      <c r="N17" s="76">
        <f t="shared" si="1"/>
        <v>0</v>
      </c>
      <c r="O17" s="76">
        <f t="shared" si="0"/>
        <v>-26.27</v>
      </c>
      <c r="P17" s="81">
        <f t="shared" si="2"/>
        <v>7</v>
      </c>
      <c r="Q17" s="81">
        <f t="shared" si="3"/>
        <v>14</v>
      </c>
      <c r="R17" s="81">
        <f t="shared" si="4"/>
        <v>28</v>
      </c>
      <c r="S17" s="78"/>
      <c r="T17" s="80"/>
      <c r="U17" s="78"/>
    </row>
    <row r="18" spans="1:21" x14ac:dyDescent="0.25">
      <c r="A18" s="181"/>
      <c r="B18" s="4">
        <v>14</v>
      </c>
      <c r="C18" s="171">
        <v>26.27</v>
      </c>
      <c r="D18" s="172"/>
      <c r="E18" s="78"/>
      <c r="F18" s="79"/>
      <c r="G18" s="76"/>
      <c r="H18" s="79"/>
      <c r="I18" s="76"/>
      <c r="J18" s="79"/>
      <c r="K18" s="76"/>
      <c r="L18" s="79"/>
      <c r="M18" s="76"/>
      <c r="N18" s="76">
        <f t="shared" si="1"/>
        <v>0</v>
      </c>
      <c r="O18" s="76">
        <f t="shared" si="0"/>
        <v>-26.27</v>
      </c>
      <c r="P18" s="81">
        <f t="shared" si="2"/>
        <v>7</v>
      </c>
      <c r="Q18" s="81">
        <f t="shared" si="3"/>
        <v>14</v>
      </c>
      <c r="R18" s="81">
        <f t="shared" si="4"/>
        <v>28</v>
      </c>
      <c r="S18" s="78"/>
      <c r="T18" s="80"/>
      <c r="U18" s="78"/>
    </row>
    <row r="19" spans="1:21" x14ac:dyDescent="0.25">
      <c r="A19" s="181"/>
      <c r="B19" s="4">
        <v>15</v>
      </c>
      <c r="C19" s="171">
        <v>26.27</v>
      </c>
      <c r="D19" s="172"/>
      <c r="E19" s="78"/>
      <c r="F19" s="79"/>
      <c r="G19" s="76"/>
      <c r="H19" s="79"/>
      <c r="I19" s="76"/>
      <c r="J19" s="79"/>
      <c r="K19" s="76"/>
      <c r="L19" s="79"/>
      <c r="M19" s="76"/>
      <c r="N19" s="76">
        <f t="shared" si="1"/>
        <v>0</v>
      </c>
      <c r="O19" s="76">
        <f t="shared" si="0"/>
        <v>-26.27</v>
      </c>
      <c r="P19" s="78">
        <f t="shared" si="2"/>
        <v>7</v>
      </c>
      <c r="Q19" s="80">
        <f t="shared" si="3"/>
        <v>14</v>
      </c>
      <c r="R19" s="78">
        <f t="shared" si="4"/>
        <v>28</v>
      </c>
      <c r="S19" s="78"/>
      <c r="T19" s="80"/>
      <c r="U19" s="78"/>
    </row>
    <row r="20" spans="1:21" x14ac:dyDescent="0.25">
      <c r="A20" s="181"/>
      <c r="B20" s="4">
        <v>16</v>
      </c>
      <c r="C20" s="171">
        <v>26.27</v>
      </c>
      <c r="D20" s="172"/>
      <c r="E20" s="78"/>
      <c r="F20" s="79"/>
      <c r="G20" s="76"/>
      <c r="H20" s="79"/>
      <c r="I20" s="76"/>
      <c r="J20" s="79"/>
      <c r="K20" s="76"/>
      <c r="L20" s="79"/>
      <c r="M20" s="76"/>
      <c r="N20" s="76">
        <f t="shared" si="1"/>
        <v>0</v>
      </c>
      <c r="O20" s="76">
        <f t="shared" si="0"/>
        <v>-26.27</v>
      </c>
      <c r="P20" s="78">
        <f t="shared" si="2"/>
        <v>7</v>
      </c>
      <c r="Q20" s="80">
        <f t="shared" si="3"/>
        <v>14</v>
      </c>
      <c r="R20" s="78">
        <f t="shared" si="4"/>
        <v>28</v>
      </c>
      <c r="S20" s="78"/>
      <c r="T20" s="80"/>
      <c r="U20" s="78"/>
    </row>
    <row r="21" spans="1:21" x14ac:dyDescent="0.25">
      <c r="A21" s="181"/>
      <c r="B21" s="4">
        <v>17</v>
      </c>
      <c r="C21" s="171">
        <v>26.27</v>
      </c>
      <c r="D21" s="172"/>
      <c r="E21" s="78"/>
      <c r="F21" s="79"/>
      <c r="G21" s="76"/>
      <c r="H21" s="79"/>
      <c r="I21" s="76"/>
      <c r="J21" s="79"/>
      <c r="K21" s="76"/>
      <c r="L21" s="79"/>
      <c r="M21" s="76"/>
      <c r="N21" s="76">
        <f t="shared" si="1"/>
        <v>0</v>
      </c>
      <c r="O21" s="76">
        <f t="shared" si="0"/>
        <v>-26.27</v>
      </c>
      <c r="P21" s="78">
        <f t="shared" si="2"/>
        <v>7</v>
      </c>
      <c r="Q21" s="80">
        <f t="shared" si="3"/>
        <v>14</v>
      </c>
      <c r="R21" s="78">
        <f t="shared" si="4"/>
        <v>28</v>
      </c>
      <c r="S21" s="78"/>
      <c r="T21" s="80"/>
      <c r="U21" s="78"/>
    </row>
    <row r="22" spans="1:21" x14ac:dyDescent="0.25">
      <c r="A22" s="181"/>
      <c r="B22" s="4">
        <v>18</v>
      </c>
      <c r="C22" s="171">
        <v>26.27</v>
      </c>
      <c r="D22" s="172"/>
      <c r="E22" s="78"/>
      <c r="F22" s="79"/>
      <c r="G22" s="76"/>
      <c r="H22" s="79"/>
      <c r="I22" s="76"/>
      <c r="J22" s="79"/>
      <c r="K22" s="76"/>
      <c r="L22" s="79"/>
      <c r="M22" s="76"/>
      <c r="N22" s="76">
        <f t="shared" si="1"/>
        <v>0</v>
      </c>
      <c r="O22" s="76">
        <f t="shared" si="0"/>
        <v>-26.27</v>
      </c>
      <c r="P22" s="78">
        <f t="shared" si="2"/>
        <v>7</v>
      </c>
      <c r="Q22" s="80">
        <f t="shared" si="3"/>
        <v>14</v>
      </c>
      <c r="R22" s="78">
        <f t="shared" si="4"/>
        <v>28</v>
      </c>
      <c r="S22" s="78"/>
      <c r="T22" s="80"/>
      <c r="U22" s="78"/>
    </row>
    <row r="23" spans="1:21" x14ac:dyDescent="0.25">
      <c r="A23" s="181"/>
      <c r="B23" s="4">
        <v>19</v>
      </c>
      <c r="C23" s="171">
        <v>26.27</v>
      </c>
      <c r="D23" s="172"/>
      <c r="E23" s="78"/>
      <c r="F23" s="79"/>
      <c r="G23" s="76"/>
      <c r="H23" s="79"/>
      <c r="I23" s="76"/>
      <c r="J23" s="79"/>
      <c r="K23" s="76"/>
      <c r="L23" s="79"/>
      <c r="M23" s="76"/>
      <c r="N23" s="76">
        <f t="shared" si="1"/>
        <v>0</v>
      </c>
      <c r="O23" s="76">
        <f t="shared" si="0"/>
        <v>-26.27</v>
      </c>
      <c r="P23" s="78">
        <f t="shared" si="2"/>
        <v>7</v>
      </c>
      <c r="Q23" s="80">
        <f t="shared" si="3"/>
        <v>14</v>
      </c>
      <c r="R23" s="78">
        <f t="shared" si="4"/>
        <v>28</v>
      </c>
      <c r="S23" s="78"/>
      <c r="T23" s="80"/>
      <c r="U23" s="78"/>
    </row>
    <row r="24" spans="1:21" x14ac:dyDescent="0.25">
      <c r="A24" s="181"/>
      <c r="B24" s="4">
        <v>20</v>
      </c>
      <c r="C24" s="171">
        <v>26.27</v>
      </c>
      <c r="D24" s="172"/>
      <c r="E24" s="78"/>
      <c r="F24" s="79"/>
      <c r="G24" s="76"/>
      <c r="H24" s="79"/>
      <c r="I24" s="76"/>
      <c r="J24" s="79"/>
      <c r="K24" s="76"/>
      <c r="L24" s="79"/>
      <c r="M24" s="76"/>
      <c r="N24" s="76">
        <f t="shared" si="1"/>
        <v>0</v>
      </c>
      <c r="O24" s="76">
        <f t="shared" si="0"/>
        <v>-26.27</v>
      </c>
      <c r="P24" s="78">
        <f t="shared" si="2"/>
        <v>7</v>
      </c>
      <c r="Q24" s="80">
        <f t="shared" si="3"/>
        <v>14</v>
      </c>
      <c r="R24" s="78">
        <f t="shared" si="4"/>
        <v>28</v>
      </c>
      <c r="S24" s="78"/>
      <c r="T24" s="80"/>
      <c r="U24" s="78"/>
    </row>
    <row r="25" spans="1:21" x14ac:dyDescent="0.25">
      <c r="A25" s="181"/>
      <c r="B25" s="4">
        <v>21</v>
      </c>
      <c r="C25" s="171">
        <v>26.27</v>
      </c>
      <c r="D25" s="172"/>
      <c r="E25" s="78"/>
      <c r="F25" s="79"/>
      <c r="G25" s="76"/>
      <c r="H25" s="79"/>
      <c r="I25" s="76"/>
      <c r="J25" s="79"/>
      <c r="K25" s="76"/>
      <c r="L25" s="79"/>
      <c r="M25" s="76"/>
      <c r="N25" s="76">
        <f t="shared" si="1"/>
        <v>0</v>
      </c>
      <c r="O25" s="76">
        <f t="shared" si="0"/>
        <v>-26.27</v>
      </c>
      <c r="P25" s="78">
        <f t="shared" si="2"/>
        <v>7</v>
      </c>
      <c r="Q25" s="80">
        <f t="shared" si="3"/>
        <v>14</v>
      </c>
      <c r="R25" s="78">
        <f t="shared" si="4"/>
        <v>28</v>
      </c>
      <c r="S25" s="78"/>
      <c r="T25" s="80"/>
      <c r="U25" s="78"/>
    </row>
    <row r="26" spans="1:21" x14ac:dyDescent="0.25">
      <c r="A26" s="181"/>
      <c r="B26" s="4">
        <v>22</v>
      </c>
      <c r="C26" s="171">
        <v>26.27</v>
      </c>
      <c r="D26" s="172"/>
      <c r="E26" s="78"/>
      <c r="F26" s="79"/>
      <c r="G26" s="76"/>
      <c r="H26" s="79"/>
      <c r="I26" s="76"/>
      <c r="J26" s="79"/>
      <c r="K26" s="76"/>
      <c r="L26" s="79"/>
      <c r="M26" s="76"/>
      <c r="N26" s="76">
        <f t="shared" si="1"/>
        <v>0</v>
      </c>
      <c r="O26" s="76">
        <f t="shared" si="0"/>
        <v>-26.27</v>
      </c>
      <c r="P26" s="78">
        <f t="shared" si="2"/>
        <v>7</v>
      </c>
      <c r="Q26" s="80">
        <f t="shared" si="3"/>
        <v>14</v>
      </c>
      <c r="R26" s="78">
        <f t="shared" si="4"/>
        <v>28</v>
      </c>
      <c r="S26" s="78"/>
      <c r="T26" s="80"/>
      <c r="U26" s="78"/>
    </row>
    <row r="27" spans="1:21" x14ac:dyDescent="0.25">
      <c r="A27" s="181"/>
      <c r="B27" s="4">
        <v>23</v>
      </c>
      <c r="C27" s="171">
        <v>26.27</v>
      </c>
      <c r="D27" s="172"/>
      <c r="E27" s="78"/>
      <c r="F27" s="79"/>
      <c r="G27" s="76"/>
      <c r="H27" s="79"/>
      <c r="I27" s="76"/>
      <c r="J27" s="79"/>
      <c r="K27" s="76"/>
      <c r="L27" s="79"/>
      <c r="M27" s="76"/>
      <c r="N27" s="76">
        <f t="shared" si="1"/>
        <v>0</v>
      </c>
      <c r="O27" s="76">
        <f t="shared" si="0"/>
        <v>-26.27</v>
      </c>
      <c r="P27" s="78">
        <f t="shared" si="2"/>
        <v>7</v>
      </c>
      <c r="Q27" s="80">
        <f t="shared" si="3"/>
        <v>14</v>
      </c>
      <c r="R27" s="78">
        <f t="shared" si="4"/>
        <v>28</v>
      </c>
      <c r="S27" s="78"/>
      <c r="T27" s="80"/>
      <c r="U27" s="78"/>
    </row>
    <row r="28" spans="1:21" x14ac:dyDescent="0.25">
      <c r="A28" s="182"/>
      <c r="B28" s="4">
        <v>24</v>
      </c>
      <c r="C28" s="171">
        <v>26.27</v>
      </c>
      <c r="D28" s="172"/>
      <c r="E28" s="78"/>
      <c r="F28" s="79"/>
      <c r="G28" s="76"/>
      <c r="H28" s="79"/>
      <c r="I28" s="76"/>
      <c r="J28" s="79"/>
      <c r="K28" s="76"/>
      <c r="L28" s="79"/>
      <c r="M28" s="76"/>
      <c r="N28" s="76">
        <f t="shared" si="1"/>
        <v>0</v>
      </c>
      <c r="O28" s="76">
        <f t="shared" si="0"/>
        <v>-26.27</v>
      </c>
      <c r="P28" s="78">
        <f t="shared" si="2"/>
        <v>7</v>
      </c>
      <c r="Q28" s="80">
        <f t="shared" si="3"/>
        <v>14</v>
      </c>
      <c r="R28" s="78">
        <f t="shared" si="4"/>
        <v>28</v>
      </c>
      <c r="S28" s="78"/>
      <c r="T28" s="80"/>
      <c r="U28" s="78"/>
    </row>
    <row r="29" spans="1:21" x14ac:dyDescent="0.25">
      <c r="A29" s="74" t="s">
        <v>68</v>
      </c>
      <c r="B29" s="77"/>
      <c r="C29" s="171">
        <f>SUM(C5:D28)</f>
        <v>630.47999999999979</v>
      </c>
      <c r="D29" s="172"/>
      <c r="E29" s="174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</row>
  </sheetData>
  <mergeCells count="46">
    <mergeCell ref="H1:H4"/>
    <mergeCell ref="A1:B3"/>
    <mergeCell ref="C1:D4"/>
    <mergeCell ref="E1:E4"/>
    <mergeCell ref="F1:F4"/>
    <mergeCell ref="G1:G4"/>
    <mergeCell ref="T1:T4"/>
    <mergeCell ref="I1:I4"/>
    <mergeCell ref="J1:J4"/>
    <mergeCell ref="K1:K4"/>
    <mergeCell ref="L1:L4"/>
    <mergeCell ref="M1:M4"/>
    <mergeCell ref="N1:N4"/>
    <mergeCell ref="C18:D18"/>
    <mergeCell ref="U1:U4"/>
    <mergeCell ref="A5:A28"/>
    <mergeCell ref="C5:D5"/>
    <mergeCell ref="C6:D6"/>
    <mergeCell ref="C7:D7"/>
    <mergeCell ref="C8:D8"/>
    <mergeCell ref="C9:D9"/>
    <mergeCell ref="C10:D10"/>
    <mergeCell ref="C11:D11"/>
    <mergeCell ref="C12:D12"/>
    <mergeCell ref="O1:O4"/>
    <mergeCell ref="P1:P4"/>
    <mergeCell ref="Q1:Q4"/>
    <mergeCell ref="R1:R4"/>
    <mergeCell ref="S1:S4"/>
    <mergeCell ref="C13:D13"/>
    <mergeCell ref="C14:D14"/>
    <mergeCell ref="C15:D15"/>
    <mergeCell ref="C16:D16"/>
    <mergeCell ref="C17:D17"/>
    <mergeCell ref="E29:U29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820F6-4830-4CEC-9D92-E54C5B58D79C}">
  <dimension ref="A1:U29"/>
  <sheetViews>
    <sheetView zoomScale="70" zoomScaleNormal="70" workbookViewId="0">
      <selection activeCell="G44" sqref="G44"/>
    </sheetView>
  </sheetViews>
  <sheetFormatPr defaultRowHeight="15" x14ac:dyDescent="0.25"/>
  <cols>
    <col min="2" max="3" width="10.7109375" customWidth="1"/>
    <col min="4" max="4" width="11.28515625" customWidth="1"/>
    <col min="5" max="5" width="16.7109375" customWidth="1"/>
    <col min="6" max="15" width="16.85546875" customWidth="1"/>
    <col min="16" max="17" width="17.140625" customWidth="1"/>
    <col min="18" max="18" width="18.140625" customWidth="1"/>
    <col min="19" max="20" width="17.28515625" customWidth="1"/>
    <col min="21" max="21" width="18.7109375" customWidth="1"/>
  </cols>
  <sheetData>
    <row r="1" spans="1:21" ht="15" customHeight="1" x14ac:dyDescent="0.25">
      <c r="A1" s="128" t="s">
        <v>89</v>
      </c>
      <c r="B1" s="128"/>
      <c r="C1" s="174" t="s">
        <v>69</v>
      </c>
      <c r="D1" s="175"/>
      <c r="E1" s="173" t="s">
        <v>67</v>
      </c>
      <c r="F1" s="183" t="s">
        <v>70</v>
      </c>
      <c r="G1" s="187" t="s">
        <v>71</v>
      </c>
      <c r="H1" s="183" t="s">
        <v>70</v>
      </c>
      <c r="I1" s="187" t="s">
        <v>71</v>
      </c>
      <c r="J1" s="183" t="s">
        <v>70</v>
      </c>
      <c r="K1" s="187" t="s">
        <v>71</v>
      </c>
      <c r="L1" s="183" t="s">
        <v>70</v>
      </c>
      <c r="M1" s="187" t="s">
        <v>71</v>
      </c>
      <c r="N1" s="183" t="s">
        <v>68</v>
      </c>
      <c r="O1" s="183" t="s">
        <v>74</v>
      </c>
      <c r="P1" s="170" t="s">
        <v>72</v>
      </c>
      <c r="Q1" s="170" t="s">
        <v>78</v>
      </c>
      <c r="R1" s="170" t="s">
        <v>73</v>
      </c>
      <c r="S1" s="170" t="s">
        <v>76</v>
      </c>
      <c r="T1" s="170" t="s">
        <v>79</v>
      </c>
      <c r="U1" s="170" t="s">
        <v>77</v>
      </c>
    </row>
    <row r="2" spans="1:21" x14ac:dyDescent="0.25">
      <c r="A2" s="128"/>
      <c r="B2" s="128"/>
      <c r="C2" s="176"/>
      <c r="D2" s="177"/>
      <c r="E2" s="173"/>
      <c r="F2" s="184"/>
      <c r="G2" s="188"/>
      <c r="H2" s="184"/>
      <c r="I2" s="188"/>
      <c r="J2" s="184"/>
      <c r="K2" s="188"/>
      <c r="L2" s="184"/>
      <c r="M2" s="188"/>
      <c r="N2" s="184"/>
      <c r="O2" s="184"/>
      <c r="P2" s="170"/>
      <c r="Q2" s="170"/>
      <c r="R2" s="170"/>
      <c r="S2" s="170"/>
      <c r="T2" s="170"/>
      <c r="U2" s="170"/>
    </row>
    <row r="3" spans="1:21" ht="15" customHeight="1" x14ac:dyDescent="0.25">
      <c r="A3" s="128"/>
      <c r="B3" s="128"/>
      <c r="C3" s="176"/>
      <c r="D3" s="177"/>
      <c r="E3" s="173"/>
      <c r="F3" s="184"/>
      <c r="G3" s="188"/>
      <c r="H3" s="184"/>
      <c r="I3" s="188"/>
      <c r="J3" s="184"/>
      <c r="K3" s="188"/>
      <c r="L3" s="184"/>
      <c r="M3" s="188"/>
      <c r="N3" s="184"/>
      <c r="O3" s="184"/>
      <c r="P3" s="170"/>
      <c r="Q3" s="170"/>
      <c r="R3" s="170"/>
      <c r="S3" s="170"/>
      <c r="T3" s="170"/>
      <c r="U3" s="170"/>
    </row>
    <row r="4" spans="1:21" x14ac:dyDescent="0.25">
      <c r="A4" s="2" t="s">
        <v>0</v>
      </c>
      <c r="B4" s="75" t="s">
        <v>88</v>
      </c>
      <c r="C4" s="178"/>
      <c r="D4" s="179"/>
      <c r="E4" s="173"/>
      <c r="F4" s="185"/>
      <c r="G4" s="189"/>
      <c r="H4" s="185"/>
      <c r="I4" s="189"/>
      <c r="J4" s="185"/>
      <c r="K4" s="189"/>
      <c r="L4" s="185"/>
      <c r="M4" s="189"/>
      <c r="N4" s="185"/>
      <c r="O4" s="185"/>
      <c r="P4" s="170"/>
      <c r="Q4" s="170"/>
      <c r="R4" s="170"/>
      <c r="S4" s="170"/>
      <c r="T4" s="170"/>
      <c r="U4" s="170"/>
    </row>
    <row r="5" spans="1:21" x14ac:dyDescent="0.25">
      <c r="A5" s="180" t="s">
        <v>11</v>
      </c>
      <c r="B5" s="4">
        <v>1</v>
      </c>
      <c r="C5" s="171">
        <v>26.27</v>
      </c>
      <c r="D5" s="172"/>
      <c r="E5" s="78"/>
      <c r="F5" s="76"/>
      <c r="G5" s="76"/>
      <c r="H5" s="76"/>
      <c r="I5" s="76"/>
      <c r="J5" s="76"/>
      <c r="K5" s="76"/>
      <c r="L5" s="76"/>
      <c r="M5" s="76"/>
      <c r="N5" s="76">
        <f>G5+I5+K5+M5</f>
        <v>0</v>
      </c>
      <c r="O5" s="76">
        <f t="shared" ref="O5:O28" si="0">N5-C5</f>
        <v>-26.27</v>
      </c>
      <c r="P5" s="81">
        <f>E5+7</f>
        <v>7</v>
      </c>
      <c r="Q5" s="81">
        <f>E5+14</f>
        <v>14</v>
      </c>
      <c r="R5" s="81">
        <f>E5+28</f>
        <v>28</v>
      </c>
      <c r="S5" s="81"/>
      <c r="T5" s="81"/>
      <c r="U5" s="78"/>
    </row>
    <row r="6" spans="1:21" x14ac:dyDescent="0.25">
      <c r="A6" s="181"/>
      <c r="B6" s="4">
        <v>2</v>
      </c>
      <c r="C6" s="171">
        <v>26.27</v>
      </c>
      <c r="D6" s="172"/>
      <c r="E6" s="78"/>
      <c r="F6" s="76"/>
      <c r="G6" s="76"/>
      <c r="H6" s="76"/>
      <c r="I6" s="76"/>
      <c r="J6" s="76"/>
      <c r="K6" s="76"/>
      <c r="L6" s="76"/>
      <c r="M6" s="76"/>
      <c r="N6" s="76">
        <f t="shared" ref="N6:N28" si="1">G6+I6+K6+M6</f>
        <v>0</v>
      </c>
      <c r="O6" s="76">
        <f t="shared" si="0"/>
        <v>-26.27</v>
      </c>
      <c r="P6" s="81">
        <f t="shared" ref="P6:P28" si="2">E6+7</f>
        <v>7</v>
      </c>
      <c r="Q6" s="81">
        <f t="shared" ref="Q6:Q28" si="3">E6+14</f>
        <v>14</v>
      </c>
      <c r="R6" s="81">
        <f t="shared" ref="R6:R28" si="4">E6+28</f>
        <v>28</v>
      </c>
      <c r="S6" s="81"/>
      <c r="T6" s="81"/>
      <c r="U6" s="78"/>
    </row>
    <row r="7" spans="1:21" x14ac:dyDescent="0.25">
      <c r="A7" s="181"/>
      <c r="B7" s="4">
        <v>3</v>
      </c>
      <c r="C7" s="171">
        <v>26.27</v>
      </c>
      <c r="D7" s="172"/>
      <c r="E7" s="78"/>
      <c r="F7" s="76"/>
      <c r="G7" s="76"/>
      <c r="H7" s="76"/>
      <c r="I7" s="76"/>
      <c r="J7" s="76"/>
      <c r="K7" s="76"/>
      <c r="L7" s="76"/>
      <c r="M7" s="76"/>
      <c r="N7" s="76">
        <f t="shared" si="1"/>
        <v>0</v>
      </c>
      <c r="O7" s="76">
        <f t="shared" si="0"/>
        <v>-26.27</v>
      </c>
      <c r="P7" s="81">
        <f t="shared" si="2"/>
        <v>7</v>
      </c>
      <c r="Q7" s="81">
        <f t="shared" si="3"/>
        <v>14</v>
      </c>
      <c r="R7" s="81">
        <f t="shared" si="4"/>
        <v>28</v>
      </c>
      <c r="S7" s="81"/>
      <c r="T7" s="81"/>
      <c r="U7" s="78" t="s">
        <v>75</v>
      </c>
    </row>
    <row r="8" spans="1:21" x14ac:dyDescent="0.25">
      <c r="A8" s="181"/>
      <c r="B8" s="4">
        <v>4</v>
      </c>
      <c r="C8" s="171">
        <v>26.27</v>
      </c>
      <c r="D8" s="172"/>
      <c r="E8" s="78"/>
      <c r="F8" s="76"/>
      <c r="G8" s="76"/>
      <c r="H8" s="76"/>
      <c r="I8" s="76"/>
      <c r="J8" s="76"/>
      <c r="K8" s="76"/>
      <c r="L8" s="76"/>
      <c r="M8" s="76"/>
      <c r="N8" s="76">
        <f t="shared" si="1"/>
        <v>0</v>
      </c>
      <c r="O8" s="76">
        <f t="shared" si="0"/>
        <v>-26.27</v>
      </c>
      <c r="P8" s="81">
        <f t="shared" si="2"/>
        <v>7</v>
      </c>
      <c r="Q8" s="81">
        <f t="shared" si="3"/>
        <v>14</v>
      </c>
      <c r="R8" s="81">
        <f t="shared" si="4"/>
        <v>28</v>
      </c>
      <c r="S8" s="81"/>
      <c r="T8" s="81"/>
      <c r="U8" s="78"/>
    </row>
    <row r="9" spans="1:21" x14ac:dyDescent="0.25">
      <c r="A9" s="181"/>
      <c r="B9" s="4">
        <v>5</v>
      </c>
      <c r="C9" s="171">
        <v>26.27</v>
      </c>
      <c r="D9" s="172"/>
      <c r="E9" s="78"/>
      <c r="F9" s="76"/>
      <c r="G9" s="76"/>
      <c r="H9" s="76"/>
      <c r="I9" s="76"/>
      <c r="J9" s="76"/>
      <c r="K9" s="76"/>
      <c r="L9" s="76"/>
      <c r="M9" s="76"/>
      <c r="N9" s="76">
        <f t="shared" si="1"/>
        <v>0</v>
      </c>
      <c r="O9" s="76">
        <f t="shared" si="0"/>
        <v>-26.27</v>
      </c>
      <c r="P9" s="81">
        <f t="shared" si="2"/>
        <v>7</v>
      </c>
      <c r="Q9" s="81">
        <f t="shared" si="3"/>
        <v>14</v>
      </c>
      <c r="R9" s="81">
        <f t="shared" si="4"/>
        <v>28</v>
      </c>
      <c r="S9" s="81"/>
      <c r="T9" s="81"/>
      <c r="U9" s="78"/>
    </row>
    <row r="10" spans="1:21" x14ac:dyDescent="0.25">
      <c r="A10" s="181"/>
      <c r="B10" s="4">
        <v>6</v>
      </c>
      <c r="C10" s="171">
        <v>26.27</v>
      </c>
      <c r="D10" s="172"/>
      <c r="E10" s="78"/>
      <c r="F10" s="76"/>
      <c r="G10" s="76"/>
      <c r="H10" s="76"/>
      <c r="I10" s="76"/>
      <c r="J10" s="76"/>
      <c r="K10" s="76"/>
      <c r="L10" s="76"/>
      <c r="M10" s="76"/>
      <c r="N10" s="76">
        <f t="shared" si="1"/>
        <v>0</v>
      </c>
      <c r="O10" s="76">
        <f t="shared" si="0"/>
        <v>-26.27</v>
      </c>
      <c r="P10" s="81">
        <f t="shared" si="2"/>
        <v>7</v>
      </c>
      <c r="Q10" s="81">
        <f t="shared" si="3"/>
        <v>14</v>
      </c>
      <c r="R10" s="81">
        <f t="shared" si="4"/>
        <v>28</v>
      </c>
      <c r="S10" s="81"/>
      <c r="T10" s="81"/>
      <c r="U10" s="78"/>
    </row>
    <row r="11" spans="1:21" x14ac:dyDescent="0.25">
      <c r="A11" s="181"/>
      <c r="B11" s="4">
        <v>7</v>
      </c>
      <c r="C11" s="171">
        <v>26.27</v>
      </c>
      <c r="D11" s="172"/>
      <c r="E11" s="78"/>
      <c r="F11" s="79"/>
      <c r="G11" s="76"/>
      <c r="H11" s="79"/>
      <c r="I11" s="76"/>
      <c r="J11" s="79"/>
      <c r="K11" s="76"/>
      <c r="L11" s="76"/>
      <c r="M11" s="76"/>
      <c r="N11" s="76">
        <f t="shared" si="1"/>
        <v>0</v>
      </c>
      <c r="O11" s="76">
        <f t="shared" si="0"/>
        <v>-26.27</v>
      </c>
      <c r="P11" s="81">
        <f t="shared" si="2"/>
        <v>7</v>
      </c>
      <c r="Q11" s="81">
        <f t="shared" si="3"/>
        <v>14</v>
      </c>
      <c r="R11" s="81">
        <f t="shared" si="4"/>
        <v>28</v>
      </c>
      <c r="S11" s="81"/>
      <c r="T11" s="81"/>
      <c r="U11" s="78"/>
    </row>
    <row r="12" spans="1:21" x14ac:dyDescent="0.25">
      <c r="A12" s="181"/>
      <c r="B12" s="4">
        <v>8</v>
      </c>
      <c r="C12" s="171">
        <v>26.27</v>
      </c>
      <c r="D12" s="172"/>
      <c r="E12" s="76"/>
      <c r="F12" s="76"/>
      <c r="G12" s="76"/>
      <c r="H12" s="76"/>
      <c r="I12" s="76"/>
      <c r="J12" s="76"/>
      <c r="K12" s="76"/>
      <c r="L12" s="76"/>
      <c r="M12" s="76"/>
      <c r="N12" s="76">
        <f t="shared" si="1"/>
        <v>0</v>
      </c>
      <c r="O12" s="76">
        <f t="shared" si="0"/>
        <v>-26.27</v>
      </c>
      <c r="P12" s="81">
        <f t="shared" si="2"/>
        <v>7</v>
      </c>
      <c r="Q12" s="81">
        <f t="shared" si="3"/>
        <v>14</v>
      </c>
      <c r="R12" s="81">
        <f t="shared" si="4"/>
        <v>28</v>
      </c>
      <c r="S12" s="81"/>
      <c r="T12" s="81"/>
      <c r="U12" s="78"/>
    </row>
    <row r="13" spans="1:21" x14ac:dyDescent="0.25">
      <c r="A13" s="181"/>
      <c r="B13" s="4">
        <v>9</v>
      </c>
      <c r="C13" s="171">
        <v>26.27</v>
      </c>
      <c r="D13" s="172"/>
      <c r="E13" s="78"/>
      <c r="F13" s="76"/>
      <c r="G13" s="76"/>
      <c r="H13" s="76"/>
      <c r="I13" s="76"/>
      <c r="J13" s="76"/>
      <c r="K13" s="76"/>
      <c r="L13" s="76"/>
      <c r="M13" s="76"/>
      <c r="N13" s="76">
        <f t="shared" si="1"/>
        <v>0</v>
      </c>
      <c r="O13" s="76">
        <f t="shared" si="0"/>
        <v>-26.27</v>
      </c>
      <c r="P13" s="81">
        <f t="shared" si="2"/>
        <v>7</v>
      </c>
      <c r="Q13" s="81">
        <f t="shared" si="3"/>
        <v>14</v>
      </c>
      <c r="R13" s="81">
        <f t="shared" si="4"/>
        <v>28</v>
      </c>
      <c r="S13" s="81"/>
      <c r="T13" s="81"/>
      <c r="U13" s="78"/>
    </row>
    <row r="14" spans="1:21" x14ac:dyDescent="0.25">
      <c r="A14" s="181"/>
      <c r="B14" s="4">
        <v>10</v>
      </c>
      <c r="C14" s="171">
        <v>26.27</v>
      </c>
      <c r="D14" s="172"/>
      <c r="E14" s="78"/>
      <c r="F14" s="76"/>
      <c r="G14" s="76"/>
      <c r="H14" s="76"/>
      <c r="I14" s="76"/>
      <c r="J14" s="76"/>
      <c r="K14" s="76"/>
      <c r="L14" s="76"/>
      <c r="M14" s="76"/>
      <c r="N14" s="76">
        <f t="shared" si="1"/>
        <v>0</v>
      </c>
      <c r="O14" s="76">
        <f t="shared" si="0"/>
        <v>-26.27</v>
      </c>
      <c r="P14" s="81">
        <f t="shared" si="2"/>
        <v>7</v>
      </c>
      <c r="Q14" s="81">
        <f t="shared" si="3"/>
        <v>14</v>
      </c>
      <c r="R14" s="81">
        <f t="shared" si="4"/>
        <v>28</v>
      </c>
      <c r="S14" s="81"/>
      <c r="T14" s="81"/>
      <c r="U14" s="78"/>
    </row>
    <row r="15" spans="1:21" x14ac:dyDescent="0.25">
      <c r="A15" s="181"/>
      <c r="B15" s="4">
        <v>11</v>
      </c>
      <c r="C15" s="171">
        <v>26.27</v>
      </c>
      <c r="D15" s="172"/>
      <c r="E15" s="78"/>
      <c r="F15" s="79"/>
      <c r="G15" s="76"/>
      <c r="H15" s="79"/>
      <c r="I15" s="76"/>
      <c r="J15" s="79"/>
      <c r="K15" s="76"/>
      <c r="L15" s="76"/>
      <c r="M15" s="76"/>
      <c r="N15" s="76">
        <f t="shared" si="1"/>
        <v>0</v>
      </c>
      <c r="O15" s="76">
        <f t="shared" si="0"/>
        <v>-26.27</v>
      </c>
      <c r="P15" s="81">
        <f t="shared" si="2"/>
        <v>7</v>
      </c>
      <c r="Q15" s="81">
        <f t="shared" si="3"/>
        <v>14</v>
      </c>
      <c r="R15" s="81">
        <f t="shared" si="4"/>
        <v>28</v>
      </c>
      <c r="S15" s="81"/>
      <c r="T15" s="81"/>
      <c r="U15" s="78"/>
    </row>
    <row r="16" spans="1:21" x14ac:dyDescent="0.25">
      <c r="A16" s="181"/>
      <c r="B16" s="4">
        <v>12</v>
      </c>
      <c r="C16" s="171">
        <v>26.27</v>
      </c>
      <c r="D16" s="172"/>
      <c r="E16" s="78"/>
      <c r="F16" s="79"/>
      <c r="G16" s="76"/>
      <c r="H16" s="76"/>
      <c r="I16" s="76"/>
      <c r="J16" s="76"/>
      <c r="K16" s="76"/>
      <c r="L16" s="76"/>
      <c r="M16" s="76"/>
      <c r="N16" s="76">
        <f t="shared" si="1"/>
        <v>0</v>
      </c>
      <c r="O16" s="76">
        <f t="shared" si="0"/>
        <v>-26.27</v>
      </c>
      <c r="P16" s="81">
        <f t="shared" si="2"/>
        <v>7</v>
      </c>
      <c r="Q16" s="81">
        <f t="shared" si="3"/>
        <v>14</v>
      </c>
      <c r="R16" s="81">
        <f t="shared" si="4"/>
        <v>28</v>
      </c>
      <c r="S16" s="81"/>
      <c r="T16" s="81"/>
      <c r="U16" s="78"/>
    </row>
    <row r="17" spans="1:21" x14ac:dyDescent="0.25">
      <c r="A17" s="181"/>
      <c r="B17" s="4">
        <v>13</v>
      </c>
      <c r="C17" s="171">
        <v>26.27</v>
      </c>
      <c r="D17" s="172"/>
      <c r="E17" s="78"/>
      <c r="F17" s="76"/>
      <c r="G17" s="76"/>
      <c r="H17" s="76"/>
      <c r="I17" s="76"/>
      <c r="J17" s="76"/>
      <c r="K17" s="76"/>
      <c r="L17" s="76"/>
      <c r="M17" s="76"/>
      <c r="N17" s="76">
        <f t="shared" si="1"/>
        <v>0</v>
      </c>
      <c r="O17" s="76">
        <f t="shared" si="0"/>
        <v>-26.27</v>
      </c>
      <c r="P17" s="81">
        <f t="shared" si="2"/>
        <v>7</v>
      </c>
      <c r="Q17" s="81">
        <f t="shared" si="3"/>
        <v>14</v>
      </c>
      <c r="R17" s="81">
        <f t="shared" si="4"/>
        <v>28</v>
      </c>
      <c r="S17" s="78"/>
      <c r="T17" s="80"/>
      <c r="U17" s="78"/>
    </row>
    <row r="18" spans="1:21" x14ac:dyDescent="0.25">
      <c r="A18" s="181"/>
      <c r="B18" s="4">
        <v>14</v>
      </c>
      <c r="C18" s="171">
        <v>26.27</v>
      </c>
      <c r="D18" s="172"/>
      <c r="E18" s="78"/>
      <c r="F18" s="79"/>
      <c r="G18" s="76"/>
      <c r="H18" s="79"/>
      <c r="I18" s="76"/>
      <c r="J18" s="79"/>
      <c r="K18" s="76"/>
      <c r="L18" s="79"/>
      <c r="M18" s="76"/>
      <c r="N18" s="76">
        <f t="shared" si="1"/>
        <v>0</v>
      </c>
      <c r="O18" s="76">
        <f t="shared" si="0"/>
        <v>-26.27</v>
      </c>
      <c r="P18" s="81">
        <f t="shared" si="2"/>
        <v>7</v>
      </c>
      <c r="Q18" s="81">
        <f t="shared" si="3"/>
        <v>14</v>
      </c>
      <c r="R18" s="81">
        <f t="shared" si="4"/>
        <v>28</v>
      </c>
      <c r="S18" s="78"/>
      <c r="T18" s="80"/>
      <c r="U18" s="78"/>
    </row>
    <row r="19" spans="1:21" x14ac:dyDescent="0.25">
      <c r="A19" s="181"/>
      <c r="B19" s="4">
        <v>15</v>
      </c>
      <c r="C19" s="171">
        <v>26.27</v>
      </c>
      <c r="D19" s="172"/>
      <c r="E19" s="78"/>
      <c r="F19" s="79"/>
      <c r="G19" s="76"/>
      <c r="H19" s="79"/>
      <c r="I19" s="76"/>
      <c r="J19" s="79"/>
      <c r="K19" s="76"/>
      <c r="L19" s="79"/>
      <c r="M19" s="76"/>
      <c r="N19" s="76">
        <f t="shared" si="1"/>
        <v>0</v>
      </c>
      <c r="O19" s="76">
        <f t="shared" si="0"/>
        <v>-26.27</v>
      </c>
      <c r="P19" s="78">
        <f t="shared" si="2"/>
        <v>7</v>
      </c>
      <c r="Q19" s="80">
        <f t="shared" si="3"/>
        <v>14</v>
      </c>
      <c r="R19" s="78">
        <f t="shared" si="4"/>
        <v>28</v>
      </c>
      <c r="S19" s="78"/>
      <c r="T19" s="80"/>
      <c r="U19" s="78"/>
    </row>
    <row r="20" spans="1:21" x14ac:dyDescent="0.25">
      <c r="A20" s="181"/>
      <c r="B20" s="4">
        <v>16</v>
      </c>
      <c r="C20" s="171">
        <v>26.27</v>
      </c>
      <c r="D20" s="172"/>
      <c r="E20" s="78"/>
      <c r="F20" s="79"/>
      <c r="G20" s="76"/>
      <c r="H20" s="79"/>
      <c r="I20" s="76"/>
      <c r="J20" s="79"/>
      <c r="K20" s="76"/>
      <c r="L20" s="79"/>
      <c r="M20" s="76"/>
      <c r="N20" s="76">
        <f t="shared" si="1"/>
        <v>0</v>
      </c>
      <c r="O20" s="76">
        <f t="shared" si="0"/>
        <v>-26.27</v>
      </c>
      <c r="P20" s="78">
        <f t="shared" si="2"/>
        <v>7</v>
      </c>
      <c r="Q20" s="80">
        <f t="shared" si="3"/>
        <v>14</v>
      </c>
      <c r="R20" s="78">
        <f t="shared" si="4"/>
        <v>28</v>
      </c>
      <c r="S20" s="78"/>
      <c r="T20" s="80"/>
      <c r="U20" s="78"/>
    </row>
    <row r="21" spans="1:21" x14ac:dyDescent="0.25">
      <c r="A21" s="181"/>
      <c r="B21" s="4">
        <v>17</v>
      </c>
      <c r="C21" s="171">
        <v>26.27</v>
      </c>
      <c r="D21" s="172"/>
      <c r="E21" s="78"/>
      <c r="F21" s="79"/>
      <c r="G21" s="76"/>
      <c r="H21" s="79"/>
      <c r="I21" s="76"/>
      <c r="J21" s="79"/>
      <c r="K21" s="76"/>
      <c r="L21" s="79"/>
      <c r="M21" s="76"/>
      <c r="N21" s="76">
        <f t="shared" si="1"/>
        <v>0</v>
      </c>
      <c r="O21" s="76">
        <f t="shared" si="0"/>
        <v>-26.27</v>
      </c>
      <c r="P21" s="78">
        <f t="shared" si="2"/>
        <v>7</v>
      </c>
      <c r="Q21" s="80">
        <f t="shared" si="3"/>
        <v>14</v>
      </c>
      <c r="R21" s="78">
        <f t="shared" si="4"/>
        <v>28</v>
      </c>
      <c r="S21" s="78"/>
      <c r="T21" s="80"/>
      <c r="U21" s="78"/>
    </row>
    <row r="22" spans="1:21" x14ac:dyDescent="0.25">
      <c r="A22" s="181"/>
      <c r="B22" s="4">
        <v>18</v>
      </c>
      <c r="C22" s="171">
        <v>26.27</v>
      </c>
      <c r="D22" s="172"/>
      <c r="E22" s="78"/>
      <c r="F22" s="79"/>
      <c r="G22" s="76"/>
      <c r="H22" s="79"/>
      <c r="I22" s="76"/>
      <c r="J22" s="79"/>
      <c r="K22" s="76"/>
      <c r="L22" s="79"/>
      <c r="M22" s="76"/>
      <c r="N22" s="76">
        <f t="shared" si="1"/>
        <v>0</v>
      </c>
      <c r="O22" s="76">
        <f t="shared" si="0"/>
        <v>-26.27</v>
      </c>
      <c r="P22" s="78">
        <f t="shared" si="2"/>
        <v>7</v>
      </c>
      <c r="Q22" s="80">
        <f t="shared" si="3"/>
        <v>14</v>
      </c>
      <c r="R22" s="78">
        <f t="shared" si="4"/>
        <v>28</v>
      </c>
      <c r="S22" s="78"/>
      <c r="T22" s="80"/>
      <c r="U22" s="78"/>
    </row>
    <row r="23" spans="1:21" x14ac:dyDescent="0.25">
      <c r="A23" s="181"/>
      <c r="B23" s="4">
        <v>19</v>
      </c>
      <c r="C23" s="171">
        <v>26.27</v>
      </c>
      <c r="D23" s="172"/>
      <c r="E23" s="78"/>
      <c r="F23" s="79"/>
      <c r="G23" s="76"/>
      <c r="H23" s="79"/>
      <c r="I23" s="76"/>
      <c r="J23" s="79"/>
      <c r="K23" s="76"/>
      <c r="L23" s="79"/>
      <c r="M23" s="76"/>
      <c r="N23" s="76">
        <f t="shared" si="1"/>
        <v>0</v>
      </c>
      <c r="O23" s="76">
        <f t="shared" si="0"/>
        <v>-26.27</v>
      </c>
      <c r="P23" s="78">
        <f t="shared" si="2"/>
        <v>7</v>
      </c>
      <c r="Q23" s="80">
        <f t="shared" si="3"/>
        <v>14</v>
      </c>
      <c r="R23" s="78">
        <f t="shared" si="4"/>
        <v>28</v>
      </c>
      <c r="S23" s="78"/>
      <c r="T23" s="80"/>
      <c r="U23" s="78"/>
    </row>
    <row r="24" spans="1:21" x14ac:dyDescent="0.25">
      <c r="A24" s="181"/>
      <c r="B24" s="4">
        <v>20</v>
      </c>
      <c r="C24" s="171">
        <v>26.27</v>
      </c>
      <c r="D24" s="172"/>
      <c r="E24" s="78"/>
      <c r="F24" s="79"/>
      <c r="G24" s="76"/>
      <c r="H24" s="79"/>
      <c r="I24" s="76"/>
      <c r="J24" s="79"/>
      <c r="K24" s="76"/>
      <c r="L24" s="79"/>
      <c r="M24" s="76"/>
      <c r="N24" s="76">
        <f t="shared" si="1"/>
        <v>0</v>
      </c>
      <c r="O24" s="76">
        <f t="shared" si="0"/>
        <v>-26.27</v>
      </c>
      <c r="P24" s="78">
        <f t="shared" si="2"/>
        <v>7</v>
      </c>
      <c r="Q24" s="80">
        <f t="shared" si="3"/>
        <v>14</v>
      </c>
      <c r="R24" s="78">
        <f t="shared" si="4"/>
        <v>28</v>
      </c>
      <c r="S24" s="78"/>
      <c r="T24" s="80"/>
      <c r="U24" s="78"/>
    </row>
    <row r="25" spans="1:21" x14ac:dyDescent="0.25">
      <c r="A25" s="181"/>
      <c r="B25" s="4">
        <v>21</v>
      </c>
      <c r="C25" s="171">
        <v>26.27</v>
      </c>
      <c r="D25" s="172"/>
      <c r="E25" s="78"/>
      <c r="F25" s="79"/>
      <c r="G25" s="76"/>
      <c r="H25" s="79"/>
      <c r="I25" s="76"/>
      <c r="J25" s="79"/>
      <c r="K25" s="76"/>
      <c r="L25" s="79"/>
      <c r="M25" s="76"/>
      <c r="N25" s="76">
        <f t="shared" si="1"/>
        <v>0</v>
      </c>
      <c r="O25" s="76">
        <f t="shared" si="0"/>
        <v>-26.27</v>
      </c>
      <c r="P25" s="78">
        <f t="shared" si="2"/>
        <v>7</v>
      </c>
      <c r="Q25" s="80">
        <f t="shared" si="3"/>
        <v>14</v>
      </c>
      <c r="R25" s="78">
        <f t="shared" si="4"/>
        <v>28</v>
      </c>
      <c r="S25" s="78"/>
      <c r="T25" s="80"/>
      <c r="U25" s="78"/>
    </row>
    <row r="26" spans="1:21" x14ac:dyDescent="0.25">
      <c r="A26" s="181"/>
      <c r="B26" s="4">
        <v>22</v>
      </c>
      <c r="C26" s="171">
        <v>26.27</v>
      </c>
      <c r="D26" s="172"/>
      <c r="E26" s="78"/>
      <c r="F26" s="79"/>
      <c r="G26" s="76"/>
      <c r="H26" s="79"/>
      <c r="I26" s="76"/>
      <c r="J26" s="79"/>
      <c r="K26" s="76"/>
      <c r="L26" s="79"/>
      <c r="M26" s="76"/>
      <c r="N26" s="76">
        <f t="shared" si="1"/>
        <v>0</v>
      </c>
      <c r="O26" s="76">
        <f t="shared" si="0"/>
        <v>-26.27</v>
      </c>
      <c r="P26" s="78">
        <f t="shared" si="2"/>
        <v>7</v>
      </c>
      <c r="Q26" s="80">
        <f t="shared" si="3"/>
        <v>14</v>
      </c>
      <c r="R26" s="78">
        <f t="shared" si="4"/>
        <v>28</v>
      </c>
      <c r="S26" s="78"/>
      <c r="T26" s="80"/>
      <c r="U26" s="78"/>
    </row>
    <row r="27" spans="1:21" x14ac:dyDescent="0.25">
      <c r="A27" s="181"/>
      <c r="B27" s="4">
        <v>23</v>
      </c>
      <c r="C27" s="171">
        <v>26.27</v>
      </c>
      <c r="D27" s="172"/>
      <c r="E27" s="78"/>
      <c r="F27" s="79"/>
      <c r="G27" s="76"/>
      <c r="H27" s="79"/>
      <c r="I27" s="76"/>
      <c r="J27" s="79"/>
      <c r="K27" s="76"/>
      <c r="L27" s="79"/>
      <c r="M27" s="76"/>
      <c r="N27" s="76">
        <f t="shared" si="1"/>
        <v>0</v>
      </c>
      <c r="O27" s="76">
        <f t="shared" si="0"/>
        <v>-26.27</v>
      </c>
      <c r="P27" s="78">
        <f t="shared" si="2"/>
        <v>7</v>
      </c>
      <c r="Q27" s="80">
        <f t="shared" si="3"/>
        <v>14</v>
      </c>
      <c r="R27" s="78">
        <f t="shared" si="4"/>
        <v>28</v>
      </c>
      <c r="S27" s="78"/>
      <c r="T27" s="80"/>
      <c r="U27" s="78"/>
    </row>
    <row r="28" spans="1:21" x14ac:dyDescent="0.25">
      <c r="A28" s="182"/>
      <c r="B28" s="4">
        <v>24</v>
      </c>
      <c r="C28" s="171">
        <v>26.27</v>
      </c>
      <c r="D28" s="172"/>
      <c r="E28" s="78"/>
      <c r="F28" s="79"/>
      <c r="G28" s="76"/>
      <c r="H28" s="79"/>
      <c r="I28" s="76"/>
      <c r="J28" s="79"/>
      <c r="K28" s="76"/>
      <c r="L28" s="79"/>
      <c r="M28" s="76"/>
      <c r="N28" s="76">
        <f t="shared" si="1"/>
        <v>0</v>
      </c>
      <c r="O28" s="76">
        <f t="shared" si="0"/>
        <v>-26.27</v>
      </c>
      <c r="P28" s="78">
        <f t="shared" si="2"/>
        <v>7</v>
      </c>
      <c r="Q28" s="80">
        <f t="shared" si="3"/>
        <v>14</v>
      </c>
      <c r="R28" s="78">
        <f t="shared" si="4"/>
        <v>28</v>
      </c>
      <c r="S28" s="78"/>
      <c r="T28" s="80"/>
      <c r="U28" s="78"/>
    </row>
    <row r="29" spans="1:21" x14ac:dyDescent="0.25">
      <c r="A29" s="74" t="s">
        <v>68</v>
      </c>
      <c r="B29" s="77"/>
      <c r="C29" s="171">
        <f>SUM(C5:D28)</f>
        <v>630.47999999999979</v>
      </c>
      <c r="D29" s="172"/>
      <c r="E29" s="174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  <c r="T29" s="186"/>
      <c r="U29" s="186"/>
    </row>
  </sheetData>
  <mergeCells count="46">
    <mergeCell ref="H1:H4"/>
    <mergeCell ref="A1:B3"/>
    <mergeCell ref="C1:D4"/>
    <mergeCell ref="E1:E4"/>
    <mergeCell ref="F1:F4"/>
    <mergeCell ref="G1:G4"/>
    <mergeCell ref="T1:T4"/>
    <mergeCell ref="I1:I4"/>
    <mergeCell ref="J1:J4"/>
    <mergeCell ref="K1:K4"/>
    <mergeCell ref="L1:L4"/>
    <mergeCell ref="M1:M4"/>
    <mergeCell ref="N1:N4"/>
    <mergeCell ref="C18:D18"/>
    <mergeCell ref="U1:U4"/>
    <mergeCell ref="A5:A28"/>
    <mergeCell ref="C5:D5"/>
    <mergeCell ref="C6:D6"/>
    <mergeCell ref="C7:D7"/>
    <mergeCell ref="C8:D8"/>
    <mergeCell ref="C9:D9"/>
    <mergeCell ref="C10:D10"/>
    <mergeCell ref="C11:D11"/>
    <mergeCell ref="C12:D12"/>
    <mergeCell ref="O1:O4"/>
    <mergeCell ref="P1:P4"/>
    <mergeCell ref="Q1:Q4"/>
    <mergeCell ref="R1:R4"/>
    <mergeCell ref="S1:S4"/>
    <mergeCell ref="C13:D13"/>
    <mergeCell ref="C14:D14"/>
    <mergeCell ref="C15:D15"/>
    <mergeCell ref="C16:D16"/>
    <mergeCell ref="C17:D17"/>
    <mergeCell ref="E29:U29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928FBA-4B2A-4E1E-B161-07E23B2FE2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25</vt:i4>
      </vt:variant>
    </vt:vector>
  </HeadingPairs>
  <TitlesOfParts>
    <vt:vector size="25" baseType="lpstr">
      <vt:lpstr>График поставки</vt:lpstr>
      <vt:lpstr>График поставки версия 2</vt:lpstr>
      <vt:lpstr>ИД Основные сваи</vt:lpstr>
      <vt:lpstr>Геология</vt:lpstr>
      <vt:lpstr>Промежуточный акт (Бегунок)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Лебедева Анна Леонидовна</dc:creator>
  <cp:lastModifiedBy>Русскин Артур Ахмедович</cp:lastModifiedBy>
  <cp:lastPrinted>2026-07-14T07:57:42Z</cp:lastPrinted>
  <dcterms:created xsi:type="dcterms:W3CDTF">2015-06-05T18:19:34Z</dcterms:created>
  <dcterms:modified xsi:type="dcterms:W3CDTF">2026-08-19T06:58:47Z</dcterms:modified>
</cp:coreProperties>
</file>